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90381\Desktop\AS1104\Submissions\CWK2.GR-15\"/>
    </mc:Choice>
  </mc:AlternateContent>
  <xr:revisionPtr revIDLastSave="0" documentId="13_ncr:1_{BF2ACDF3-A330-4B79-BE6D-6A4F8EF45A27}" xr6:coauthVersionLast="47" xr6:coauthVersionMax="47" xr10:uidLastSave="{00000000-0000-0000-0000-000000000000}"/>
  <bookViews>
    <workbookView xWindow="-110" yWindow="-110" windowWidth="25820" windowHeight="15500" xr2:uid="{EAEC98A0-FADF-4407-886D-BE39DE311F70}"/>
  </bookViews>
  <sheets>
    <sheet name="Balance sheet" sheetId="1" r:id="rId1"/>
    <sheet name="Maintainance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I6" i="1"/>
  <c r="F15" i="1"/>
  <c r="C24" i="1"/>
  <c r="C23" i="1"/>
  <c r="C25" i="1" l="1"/>
  <c r="G5" i="1"/>
  <c r="M5" i="1" s="1"/>
  <c r="N15" i="1"/>
  <c r="F16" i="1"/>
  <c r="J6" i="1"/>
  <c r="K5" i="1"/>
  <c r="H7" i="1" l="1"/>
  <c r="I7" i="1" s="1"/>
  <c r="H14" i="1"/>
  <c r="I14" i="1" s="1"/>
  <c r="H12" i="1"/>
  <c r="I12" i="1" s="1"/>
  <c r="H15" i="1"/>
  <c r="I15" i="1" s="1"/>
  <c r="H13" i="1"/>
  <c r="I13" i="1" s="1"/>
  <c r="H11" i="1"/>
  <c r="I11" i="1" s="1"/>
  <c r="H10" i="1"/>
  <c r="I10" i="1" s="1"/>
  <c r="H9" i="1"/>
  <c r="I9" i="1" s="1"/>
  <c r="H8" i="1"/>
  <c r="I8" i="1" s="1"/>
  <c r="K6" i="1"/>
  <c r="M6" i="1" s="1"/>
  <c r="N16" i="1"/>
  <c r="F17" i="1"/>
  <c r="H17" i="1" s="1"/>
  <c r="I17" i="1" s="1"/>
  <c r="H16" i="1"/>
  <c r="I16" i="1" s="1"/>
  <c r="G6" i="1"/>
  <c r="J8" i="1" l="1"/>
  <c r="K8" i="1" s="1"/>
  <c r="J9" i="1"/>
  <c r="K9" i="1" s="1"/>
  <c r="J13" i="1"/>
  <c r="K13" i="1" s="1"/>
  <c r="J11" i="1"/>
  <c r="J15" i="1"/>
  <c r="K15" i="1" s="1"/>
  <c r="J10" i="1"/>
  <c r="K10" i="1" s="1"/>
  <c r="K11" i="1"/>
  <c r="J14" i="1"/>
  <c r="K14" i="1" s="1"/>
  <c r="J12" i="1"/>
  <c r="K12" i="1" s="1"/>
  <c r="J7" i="1"/>
  <c r="K7" i="1" s="1"/>
  <c r="F18" i="1"/>
  <c r="N18" i="1" s="1"/>
  <c r="N17" i="1"/>
  <c r="J16" i="1"/>
  <c r="K16" i="1" s="1"/>
  <c r="J17" i="1"/>
  <c r="F19" i="1" l="1"/>
  <c r="N19" i="1" s="1"/>
  <c r="H18" i="1"/>
  <c r="I18" i="1" s="1"/>
  <c r="K17" i="1"/>
  <c r="M7" i="1"/>
  <c r="G7" i="1"/>
  <c r="H19" i="1" l="1"/>
  <c r="I19" i="1" s="1"/>
  <c r="F20" i="1"/>
  <c r="N20" i="1" s="1"/>
  <c r="J18" i="1"/>
  <c r="K18" i="1" s="1"/>
  <c r="L7" i="1"/>
  <c r="G8" i="1"/>
  <c r="M8" i="1"/>
  <c r="F21" i="1" l="1"/>
  <c r="H21" i="1" s="1"/>
  <c r="I21" i="1" s="1"/>
  <c r="H20" i="1"/>
  <c r="I20" i="1" s="1"/>
  <c r="J19" i="1"/>
  <c r="K19" i="1" s="1"/>
  <c r="G9" i="1"/>
  <c r="M9" i="1"/>
  <c r="J20" i="1" l="1"/>
  <c r="K20" i="1" s="1"/>
  <c r="F22" i="1"/>
  <c r="N22" i="1" s="1"/>
  <c r="N21" i="1"/>
  <c r="G10" i="1"/>
  <c r="M10" i="1"/>
  <c r="J21" i="1"/>
  <c r="F23" i="1" l="1"/>
  <c r="N23" i="1" s="1"/>
  <c r="K21" i="1"/>
  <c r="H22" i="1"/>
  <c r="I22" i="1" s="1"/>
  <c r="G11" i="1"/>
  <c r="M11" i="1"/>
  <c r="F24" i="1" l="1"/>
  <c r="H24" i="1" s="1"/>
  <c r="I24" i="1" s="1"/>
  <c r="H23" i="1"/>
  <c r="I23" i="1" s="1"/>
  <c r="J22" i="1"/>
  <c r="K22" i="1" s="1"/>
  <c r="G12" i="1"/>
  <c r="M12" i="1"/>
  <c r="N24" i="1" l="1"/>
  <c r="J23" i="1"/>
  <c r="K23" i="1" s="1"/>
  <c r="F25" i="1"/>
  <c r="N25" i="1" s="1"/>
  <c r="G13" i="1"/>
  <c r="M13" i="1"/>
  <c r="J24" i="1"/>
  <c r="K24" i="1" l="1"/>
  <c r="F26" i="1"/>
  <c r="H25" i="1"/>
  <c r="I25" i="1" s="1"/>
  <c r="N26" i="1"/>
  <c r="H26" i="1"/>
  <c r="I26" i="1" s="1"/>
  <c r="G14" i="1"/>
  <c r="M14" i="1"/>
  <c r="F27" i="1"/>
  <c r="J25" i="1"/>
  <c r="K25" i="1" s="1"/>
  <c r="N27" i="1" l="1"/>
  <c r="H27" i="1"/>
  <c r="I27" i="1" s="1"/>
  <c r="G15" i="1"/>
  <c r="M15" i="1"/>
  <c r="F28" i="1"/>
  <c r="J26" i="1"/>
  <c r="K26" i="1" s="1"/>
  <c r="N28" i="1" l="1"/>
  <c r="H28" i="1"/>
  <c r="I28" i="1" s="1"/>
  <c r="G16" i="1"/>
  <c r="M16" i="1"/>
  <c r="F29" i="1"/>
  <c r="J27" i="1"/>
  <c r="K27" i="1" s="1"/>
  <c r="N29" i="1" l="1"/>
  <c r="H29" i="1"/>
  <c r="I29" i="1" s="1"/>
  <c r="G17" i="1"/>
  <c r="M17" i="1"/>
  <c r="F30" i="1"/>
  <c r="J28" i="1"/>
  <c r="K28" i="1" s="1"/>
  <c r="N30" i="1" l="1"/>
  <c r="H30" i="1"/>
  <c r="I30" i="1" s="1"/>
  <c r="G18" i="1"/>
  <c r="M18" i="1"/>
  <c r="F31" i="1"/>
  <c r="J29" i="1"/>
  <c r="K29" i="1" s="1"/>
  <c r="N31" i="1" l="1"/>
  <c r="H31" i="1"/>
  <c r="I31" i="1" s="1"/>
  <c r="G19" i="1"/>
  <c r="M19" i="1"/>
  <c r="F32" i="1"/>
  <c r="J30" i="1"/>
  <c r="K30" i="1" s="1"/>
  <c r="N32" i="1" l="1"/>
  <c r="H32" i="1"/>
  <c r="I32" i="1" s="1"/>
  <c r="G20" i="1"/>
  <c r="M20" i="1"/>
  <c r="F33" i="1"/>
  <c r="J31" i="1"/>
  <c r="K31" i="1" s="1"/>
  <c r="N33" i="1" l="1"/>
  <c r="H33" i="1"/>
  <c r="I33" i="1" s="1"/>
  <c r="G21" i="1"/>
  <c r="M21" i="1"/>
  <c r="F34" i="1"/>
  <c r="J32" i="1"/>
  <c r="K32" i="1" s="1"/>
  <c r="N34" i="1" l="1"/>
  <c r="H34" i="1"/>
  <c r="I34" i="1" s="1"/>
  <c r="G22" i="1"/>
  <c r="M22" i="1"/>
  <c r="F35" i="1"/>
  <c r="J33" i="1"/>
  <c r="K33" i="1" s="1"/>
  <c r="N35" i="1" l="1"/>
  <c r="H35" i="1"/>
  <c r="I35" i="1" s="1"/>
  <c r="G23" i="1"/>
  <c r="M23" i="1"/>
  <c r="F36" i="1"/>
  <c r="J34" i="1"/>
  <c r="K34" i="1" s="1"/>
  <c r="N36" i="1" l="1"/>
  <c r="H36" i="1"/>
  <c r="I36" i="1" s="1"/>
  <c r="G24" i="1"/>
  <c r="M24" i="1"/>
  <c r="F37" i="1"/>
  <c r="J35" i="1"/>
  <c r="K35" i="1" s="1"/>
  <c r="N37" i="1" l="1"/>
  <c r="H37" i="1"/>
  <c r="I37" i="1" s="1"/>
  <c r="G25" i="1"/>
  <c r="M25" i="1"/>
  <c r="F38" i="1"/>
  <c r="J36" i="1"/>
  <c r="K36" i="1" s="1"/>
  <c r="N38" i="1" l="1"/>
  <c r="H38" i="1"/>
  <c r="I38" i="1" s="1"/>
  <c r="G26" i="1"/>
  <c r="M26" i="1"/>
  <c r="F39" i="1"/>
  <c r="J37" i="1"/>
  <c r="K37" i="1" s="1"/>
  <c r="N39" i="1" l="1"/>
  <c r="H39" i="1"/>
  <c r="I39" i="1" s="1"/>
  <c r="G27" i="1"/>
  <c r="M27" i="1"/>
  <c r="F40" i="1"/>
  <c r="J38" i="1"/>
  <c r="K38" i="1" s="1"/>
  <c r="N40" i="1" l="1"/>
  <c r="H40" i="1"/>
  <c r="I40" i="1" s="1"/>
  <c r="G28" i="1"/>
  <c r="M28" i="1"/>
  <c r="F41" i="1"/>
  <c r="J39" i="1"/>
  <c r="K39" i="1" s="1"/>
  <c r="N41" i="1" l="1"/>
  <c r="H41" i="1"/>
  <c r="I41" i="1" s="1"/>
  <c r="G29" i="1"/>
  <c r="M29" i="1"/>
  <c r="F42" i="1"/>
  <c r="J40" i="1"/>
  <c r="K40" i="1" s="1"/>
  <c r="N42" i="1" l="1"/>
  <c r="H42" i="1"/>
  <c r="I42" i="1" s="1"/>
  <c r="G30" i="1"/>
  <c r="M30" i="1"/>
  <c r="F43" i="1"/>
  <c r="J41" i="1"/>
  <c r="K41" i="1" s="1"/>
  <c r="N43" i="1" l="1"/>
  <c r="H43" i="1"/>
  <c r="I43" i="1" s="1"/>
  <c r="G31" i="1"/>
  <c r="M31" i="1"/>
  <c r="F44" i="1"/>
  <c r="N44" i="1" l="1"/>
  <c r="H44" i="1"/>
  <c r="I44" i="1" s="1"/>
  <c r="G32" i="1"/>
  <c r="M32" i="1"/>
  <c r="F45" i="1"/>
  <c r="J42" i="1"/>
  <c r="K42" i="1" s="1"/>
  <c r="N45" i="1" l="1"/>
  <c r="H45" i="1"/>
  <c r="I45" i="1" s="1"/>
  <c r="G33" i="1"/>
  <c r="M33" i="1"/>
  <c r="F46" i="1"/>
  <c r="J43" i="1"/>
  <c r="K43" i="1"/>
  <c r="N46" i="1" l="1"/>
  <c r="H46" i="1"/>
  <c r="I46" i="1" s="1"/>
  <c r="G34" i="1"/>
  <c r="M34" i="1"/>
  <c r="F47" i="1"/>
  <c r="J44" i="1"/>
  <c r="K44" i="1"/>
  <c r="N47" i="1" l="1"/>
  <c r="H47" i="1"/>
  <c r="I47" i="1" s="1"/>
  <c r="G35" i="1"/>
  <c r="M35" i="1"/>
  <c r="J45" i="1"/>
  <c r="K45" i="1"/>
  <c r="G36" i="1" l="1"/>
  <c r="M36" i="1"/>
  <c r="J46" i="1"/>
  <c r="K46" i="1"/>
  <c r="G37" i="1" l="1"/>
  <c r="M37" i="1"/>
  <c r="J47" i="1"/>
  <c r="K47" i="1"/>
  <c r="G38" i="1" l="1"/>
  <c r="M38" i="1"/>
  <c r="G39" i="1" l="1"/>
  <c r="M39" i="1"/>
  <c r="G40" i="1" l="1"/>
  <c r="M40" i="1"/>
  <c r="G41" i="1" l="1"/>
  <c r="M41" i="1"/>
  <c r="G42" i="1" l="1"/>
  <c r="M42" i="1"/>
  <c r="G43" i="1" l="1"/>
  <c r="M43" i="1"/>
  <c r="G44" i="1" l="1"/>
  <c r="M44" i="1"/>
  <c r="G45" i="1" l="1"/>
  <c r="M45" i="1"/>
  <c r="G46" i="1" l="1"/>
  <c r="M46" i="1"/>
  <c r="G47" i="1" l="1"/>
  <c r="M47" i="1"/>
  <c r="L5" i="1"/>
  <c r="L6" i="1"/>
  <c r="L8" i="1" l="1"/>
  <c r="L10" i="1"/>
  <c r="L9" i="1"/>
  <c r="L11" i="1" l="1"/>
  <c r="L43" i="1" l="1"/>
  <c r="L44" i="1"/>
  <c r="L45" i="1"/>
  <c r="L46" i="1"/>
  <c r="L47" i="1"/>
  <c r="C27" i="1" l="1" a="1"/>
  <c r="C27" i="1" s="1"/>
  <c r="L42" i="1" l="1"/>
  <c r="L38" i="1"/>
  <c r="L41" i="1"/>
  <c r="L40" i="1"/>
  <c r="L37" i="1"/>
  <c r="L39" i="1"/>
  <c r="L34" i="1"/>
  <c r="L25" i="1"/>
  <c r="L33" i="1"/>
  <c r="L35" i="1"/>
  <c r="L36" i="1"/>
  <c r="L29" i="1"/>
  <c r="L31" i="1"/>
  <c r="L24" i="1"/>
  <c r="L26" i="1"/>
  <c r="L27" i="1"/>
  <c r="L28" i="1"/>
  <c r="L30" i="1"/>
  <c r="L32" i="1"/>
  <c r="L23" i="1"/>
  <c r="L17" i="1"/>
  <c r="L16" i="1"/>
  <c r="L13" i="1"/>
  <c r="L15" i="1"/>
  <c r="L12" i="1"/>
  <c r="L14" i="1"/>
  <c r="L18" i="1"/>
  <c r="L22" i="1"/>
  <c r="C28" i="1" s="1"/>
  <c r="L19" i="1"/>
  <c r="L21" i="1"/>
  <c r="L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tc={E5C66DAB-DC64-4548-A782-3E69D0CD5CBC}</author>
    <author>tc={5FAC9032-C3F9-49E9-9784-7C72B39FDFD6}</author>
    <author>tc={4A8B6491-D4F5-4A7B-A2F2-0D9179524DCD}</author>
  </authors>
  <commentList>
    <comment ref="N5" authorId="0" shapeId="0" xr:uid="{E5C66DAB-DC64-4548-A782-3E69D0CD5CBC}">
      <text>
        <t>[线程批注]
你的Excel版本可读取此线程批注; 但如果在更新版本的Excel中打开文件，则对批注所作的任何改动都将被删除。了解详细信息: https://go.microsoft.com/fwlink/?linkid=870924
注释:
    Unnecessary column</t>
      </text>
    </comment>
    <comment ref="I7" authorId="1" shapeId="0" xr:uid="{5FAC9032-C3F9-49E9-9784-7C72B39FDFD6}">
      <text>
        <t>[线程批注]
你的Excel版本可读取此线程批注; 但如果在更新版本的Excel中打开文件，则对批注所作的任何改动都将被删除。了解详细信息: https://go.microsoft.com/fwlink/?linkid=870924
注释:
    Inefficient formula</t>
      </text>
    </comment>
    <comment ref="D12" authorId="2" shapeId="0" xr:uid="{4A8B6491-D4F5-4A7B-A2F2-0D9179524DCD}">
      <text>
        <t>[线程批注]
你的Excel版本可读取此线程批注; 但如果在更新版本的Excel中打开文件，则对批注所作的任何改动都将被删除。了解详细信息: https://go.microsoft.com/fwlink/?linkid=870924
注释:
    Please check your validation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<sst xmlns="http://schemas.openxmlformats.org/spreadsheetml/2006/main" count="42" uniqueCount="40">
  <si>
    <t>INPUT</t>
  </si>
  <si>
    <t>BALANCE SHEET</t>
  </si>
  <si>
    <t>Parameters</t>
  </si>
  <si>
    <t>Value</t>
  </si>
  <si>
    <t>Years</t>
  </si>
  <si>
    <t>Opening Balance</t>
  </si>
  <si>
    <t>Gross Revenue</t>
  </si>
  <si>
    <t>Maintainance costs</t>
  </si>
  <si>
    <t>Leasing costs</t>
  </si>
  <si>
    <t>Net Revenue</t>
  </si>
  <si>
    <t>Balance PV</t>
  </si>
  <si>
    <t>Closing balance</t>
  </si>
  <si>
    <t>Installation/Decommision costs</t>
  </si>
  <si>
    <t>Investment Term (T)</t>
  </si>
  <si>
    <t>Turbine Diameter (d)</t>
  </si>
  <si>
    <t>Average wind speed (w)</t>
  </si>
  <si>
    <t>Lease Price (PL)</t>
  </si>
  <si>
    <t>Lease commision rate (RL%)</t>
  </si>
  <si>
    <t>Location cost factor (k)</t>
  </si>
  <si>
    <t>Initial Electricity Price (E0)</t>
  </si>
  <si>
    <t>Electricity Inflation rate (j%)</t>
  </si>
  <si>
    <t>Annual Borrowing rate (i1%)</t>
  </si>
  <si>
    <t>Annual Lending rate (i2%)</t>
  </si>
  <si>
    <t>Subsidy Incentive (S%)</t>
  </si>
  <si>
    <t>Location</t>
  </si>
  <si>
    <t>Onshore</t>
  </si>
  <si>
    <t>DERIVED CONSTANTS</t>
  </si>
  <si>
    <t>FROM INPUT</t>
  </si>
  <si>
    <t>Area</t>
  </si>
  <si>
    <t>Average annual output yield (y)</t>
  </si>
  <si>
    <t>Nominal energy output (N, kWh)</t>
  </si>
  <si>
    <t>FROM BALANCE SHEET</t>
  </si>
  <si>
    <t>DPP</t>
  </si>
  <si>
    <t>AROI</t>
  </si>
  <si>
    <t>Table 1: Maintenance rate data</t>
  </si>
  <si>
    <t>Expected maintenance rates (per gross revenue)</t>
  </si>
  <si>
    <t>Year</t>
  </si>
  <si>
    <r>
      <t xml:space="preserve">Small
15 </t>
    </r>
    <r>
      <rPr>
        <b/>
        <sz val="11"/>
        <color theme="1"/>
        <rFont val="Calibri"/>
        <family val="2"/>
      </rPr>
      <t xml:space="preserve">≤ </t>
    </r>
    <r>
      <rPr>
        <b/>
        <i/>
        <sz val="11"/>
        <color theme="1"/>
        <rFont val="等线"/>
        <family val="2"/>
        <scheme val="minor"/>
      </rPr>
      <t>d</t>
    </r>
    <r>
      <rPr>
        <b/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Calibri"/>
        <family val="2"/>
      </rPr>
      <t>&lt; 3</t>
    </r>
    <r>
      <rPr>
        <b/>
        <sz val="11"/>
        <color theme="1"/>
        <rFont val="等线"/>
        <family val="2"/>
        <scheme val="minor"/>
      </rPr>
      <t>0</t>
    </r>
  </si>
  <si>
    <r>
      <t xml:space="preserve">Medium
30 ≤ </t>
    </r>
    <r>
      <rPr>
        <b/>
        <i/>
        <sz val="11"/>
        <color theme="1"/>
        <rFont val="等线"/>
        <family val="2"/>
        <scheme val="minor"/>
      </rPr>
      <t>d</t>
    </r>
    <r>
      <rPr>
        <b/>
        <sz val="11"/>
        <color theme="1"/>
        <rFont val="等线"/>
        <family val="2"/>
        <scheme val="minor"/>
      </rPr>
      <t xml:space="preserve"> &lt; 100</t>
    </r>
  </si>
  <si>
    <r>
      <t xml:space="preserve">Large
100 ≤ </t>
    </r>
    <r>
      <rPr>
        <b/>
        <i/>
        <sz val="11"/>
        <color theme="1"/>
        <rFont val="等线"/>
        <family val="2"/>
        <scheme val="minor"/>
      </rPr>
      <t>d</t>
    </r>
    <r>
      <rPr>
        <b/>
        <sz val="11"/>
        <color theme="1"/>
        <rFont val="等线"/>
        <family val="2"/>
        <scheme val="minor"/>
      </rPr>
      <t xml:space="preserve"> &lt; 250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</si>
</sst>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&quot;£&quot;#,##0.00"/>
    <numFmt numFmtId="179" formatCode="[$£-809]#,##0.00"/>
    <numFmt numFmtId="180" formatCode="&quot;£&quot;#,##0_);[Red]\(&quot;£&quot;#,##0\)"/>
    <numFmt numFmtId="182" formatCode="&quot;£&quot;#,##0.00_);[Red]\(&quot;£&quot;#,##0.00\)"/>
    <numFmt numFmtId="183" formatCode="0.00_);[Red]\(0.00\)"/>
  </numFmts>
  <fonts count="2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theme="7" tint="0.79998168889431442"/>
      <name val="等线"/>
      <family val="2"/>
      <scheme val="minor"/>
    </font>
    <font>
      <b/>
      <sz val="11"/>
      <color rgb="FFFFFF00"/>
      <name val="等线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等线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b/>
      <sz val="22"/>
      <color theme="1"/>
      <name val="Consolas"/>
      <family val="3"/>
    </font>
    <font>
      <b/>
      <sz val="15"/>
      <color rgb="FFFFFFFF"/>
      <name val="Consolas"/>
      <family val="3"/>
    </font>
    <font>
      <b/>
      <sz val="15"/>
      <color theme="1"/>
      <name val="Consolas"/>
      <family val="3"/>
    </font>
    <font>
      <i/>
      <sz val="11"/>
      <color theme="1"/>
      <name val="Consolas"/>
      <family val="3"/>
    </font>
    <font>
      <b/>
      <sz val="22"/>
      <color rgb="FF000000"/>
      <name val="Consolas"/>
      <family val="3"/>
    </font>
    <font>
      <b/>
      <sz val="15"/>
      <color theme="0"/>
      <name val="Consolas"/>
      <family val="3"/>
    </font>
    <font>
      <b/>
      <sz val="20"/>
      <color rgb="FF000000"/>
      <name val="Consolas"/>
      <family val="3"/>
    </font>
    <font>
      <b/>
      <sz val="11"/>
      <color theme="0"/>
      <name val="Consolas"/>
      <family val="3"/>
    </font>
    <font>
      <b/>
      <sz val="12"/>
      <color rgb="FF000000"/>
      <name val="Consolas"/>
      <family val="3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3DADD9"/>
        <bgColor indexed="64"/>
      </patternFill>
    </fill>
    <fill>
      <patternFill patternType="solid">
        <fgColor theme="7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/>
      <bottom/>
      <diagonal/>
    </border>
    <border>
      <left style="thick">
        <color rgb="FF0F9ED5"/>
      </left>
      <right style="thick">
        <color rgb="FF0F9ED5"/>
      </right>
      <top style="thin">
        <color rgb="FF0F9ED5"/>
      </top>
      <bottom style="thin">
        <color rgb="FF0F9ED5"/>
      </bottom>
      <diagonal/>
    </border>
    <border>
      <left style="thick">
        <color rgb="FF0F9ED5"/>
      </left>
      <right style="thick">
        <color rgb="FF0F9ED5"/>
      </right>
      <top/>
      <bottom style="thin">
        <color rgb="FF0F9ED5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rgb="FF0F9ED5"/>
      </top>
      <bottom style="thick">
        <color rgb="FF0F9ED5"/>
      </bottom>
      <diagonal/>
    </border>
    <border>
      <left style="thick">
        <color theme="1"/>
      </left>
      <right style="thick">
        <color rgb="FF0F9ED5"/>
      </right>
      <top/>
      <bottom style="thin">
        <color rgb="FF0F9ED5"/>
      </bottom>
      <diagonal/>
    </border>
    <border>
      <left style="thick">
        <color theme="1"/>
      </left>
      <right style="thick">
        <color rgb="FF0F9ED5"/>
      </right>
      <top style="thin">
        <color rgb="FF0F9ED5"/>
      </top>
      <bottom style="thin">
        <color rgb="FF0F9ED5"/>
      </bottom>
      <diagonal/>
    </border>
    <border>
      <left style="thick">
        <color theme="1"/>
      </left>
      <right/>
      <top/>
      <bottom style="thick">
        <color rgb="FF0F9ED5"/>
      </bottom>
      <diagonal/>
    </border>
    <border>
      <left style="thick">
        <color theme="1"/>
      </left>
      <right/>
      <top style="thick">
        <color rgb="FF0F9ED5"/>
      </top>
      <bottom style="thick">
        <color theme="1"/>
      </bottom>
      <diagonal/>
    </border>
    <border>
      <left style="thick">
        <color rgb="FF0F9ED5"/>
      </left>
      <right style="thick">
        <color theme="1"/>
      </right>
      <top style="dashed">
        <color rgb="FF0F9ED5"/>
      </top>
      <bottom style="thick">
        <color theme="1"/>
      </bottom>
      <diagonal/>
    </border>
    <border>
      <left style="thick">
        <color theme="1"/>
      </left>
      <right style="thick">
        <color rgb="FF0F9ED5"/>
      </right>
      <top style="thick">
        <color rgb="FF0F9ED5"/>
      </top>
      <bottom style="thick">
        <color rgb="FF0F9ED5"/>
      </bottom>
      <diagonal/>
    </border>
    <border>
      <left style="thick">
        <color rgb="FF0F9ED5"/>
      </left>
      <right style="thick">
        <color theme="1"/>
      </right>
      <top style="thick">
        <color rgb="FF0F9ED5"/>
      </top>
      <bottom style="thick">
        <color rgb="FF0F9ED5"/>
      </bottom>
      <diagonal/>
    </border>
    <border>
      <left style="thick">
        <color theme="1"/>
      </left>
      <right style="thick">
        <color rgb="FF0F9ED5"/>
      </right>
      <top/>
      <bottom style="thick">
        <color rgb="FF0F9ED5"/>
      </bottom>
      <diagonal/>
    </border>
    <border>
      <left style="thick">
        <color rgb="FF0F9ED5"/>
      </left>
      <right style="thick">
        <color theme="1"/>
      </right>
      <top/>
      <bottom style="thick">
        <color rgb="FF0F9ED5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indexed="64"/>
      </left>
      <right style="thick">
        <color rgb="FF0F9ED5"/>
      </right>
      <top style="thick">
        <color rgb="FF0F9ED5"/>
      </top>
      <bottom style="thick">
        <color indexed="64"/>
      </bottom>
      <diagonal/>
    </border>
    <border>
      <left style="thick">
        <color rgb="FF0F9ED5"/>
      </left>
      <right style="thick">
        <color indexed="64"/>
      </right>
      <top style="thick">
        <color rgb="FF0F9ED5"/>
      </top>
      <bottom style="thick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theme="1"/>
      </left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ck">
        <color rgb="FF0F9ED5"/>
      </right>
      <top style="thick">
        <color rgb="FF0F9ED5"/>
      </top>
      <bottom style="thick">
        <color rgb="FF000000"/>
      </bottom>
      <diagonal/>
    </border>
    <border>
      <left style="thick">
        <color rgb="FF0F9ED5"/>
      </left>
      <right style="thick">
        <color theme="1"/>
      </right>
      <top style="thick">
        <color rgb="FF0F9ED5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theme="1"/>
      </top>
      <bottom style="thin">
        <color rgb="FF000000"/>
      </bottom>
      <diagonal/>
    </border>
    <border>
      <left/>
      <right style="thick">
        <color rgb="FF000000"/>
      </right>
      <top style="thick">
        <color theme="1"/>
      </top>
      <bottom style="thin">
        <color rgb="FF000000"/>
      </bottom>
      <diagonal/>
    </border>
    <border>
      <left style="thick">
        <color indexed="64"/>
      </left>
      <right style="thick">
        <color rgb="FF0F9ED5"/>
      </right>
      <top/>
      <bottom style="thick">
        <color rgb="FF0F9ED5"/>
      </bottom>
      <diagonal/>
    </border>
    <border>
      <left style="thick">
        <color rgb="FF0F9ED5"/>
      </left>
      <right style="thick">
        <color indexed="64"/>
      </right>
      <top/>
      <bottom style="thick">
        <color rgb="FF0F9ED5"/>
      </bottom>
      <diagonal/>
    </border>
    <border>
      <left style="thick">
        <color theme="1"/>
      </left>
      <right style="thick">
        <color rgb="FF0F9ED5"/>
      </right>
      <top style="thin">
        <color rgb="FF0F9ED5"/>
      </top>
      <bottom style="thick">
        <color theme="1"/>
      </bottom>
      <diagonal/>
    </border>
    <border>
      <left style="thick">
        <color rgb="FF0F9ED5"/>
      </left>
      <right style="thick">
        <color rgb="FF0F9ED5"/>
      </right>
      <top style="thin">
        <color rgb="FF0F9ED5"/>
      </top>
      <bottom style="thick">
        <color theme="1"/>
      </bottom>
      <diagonal/>
    </border>
    <border>
      <left style="thick">
        <color rgb="FF0F9ED5"/>
      </left>
      <right style="thick">
        <color rgb="FF0F9ED5"/>
      </right>
      <top style="thick">
        <color theme="1"/>
      </top>
      <bottom style="thin">
        <color rgb="FF0F9ED5"/>
      </bottom>
      <diagonal/>
    </border>
    <border>
      <left style="thick">
        <color rgb="FF0F9ED5"/>
      </left>
      <right style="thick">
        <color indexed="64"/>
      </right>
      <top style="thick">
        <color theme="1"/>
      </top>
      <bottom style="thin">
        <color rgb="FF0F9ED5"/>
      </bottom>
      <diagonal/>
    </border>
    <border>
      <left style="thick">
        <color rgb="FF0F9ED5"/>
      </left>
      <right style="thick">
        <color indexed="64"/>
      </right>
      <top style="thin">
        <color rgb="FF0F9ED5"/>
      </top>
      <bottom style="thin">
        <color rgb="FF0F9ED5"/>
      </bottom>
      <diagonal/>
    </border>
    <border>
      <left style="thick">
        <color rgb="FF0F9ED5"/>
      </left>
      <right style="thick">
        <color indexed="64"/>
      </right>
      <top style="thin">
        <color rgb="FF0F9ED5"/>
      </top>
      <bottom style="thick">
        <color theme="1"/>
      </bottom>
      <diagonal/>
    </border>
    <border>
      <left style="thick">
        <color rgb="FF0F9ED5"/>
      </left>
      <right style="thick">
        <color rgb="FF0F9ED5"/>
      </right>
      <top style="thin">
        <color rgb="FF0F9ED5"/>
      </top>
      <bottom style="thick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3" fillId="2" borderId="0" xfId="0" applyFont="1" applyFill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10" fontId="0" fillId="0" borderId="5" xfId="1" applyNumberFormat="1" applyFont="1" applyFill="1" applyBorder="1" applyAlignment="1">
      <alignment horizontal="center"/>
    </xf>
    <xf numFmtId="10" fontId="0" fillId="0" borderId="6" xfId="1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7" xfId="1" applyNumberFormat="1" applyFont="1" applyFill="1" applyBorder="1" applyAlignment="1">
      <alignment horizontal="center"/>
    </xf>
    <xf numFmtId="10" fontId="0" fillId="0" borderId="8" xfId="1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9" xfId="1" applyNumberFormat="1" applyFont="1" applyFill="1" applyBorder="1" applyAlignment="1">
      <alignment horizontal="center"/>
    </xf>
    <xf numFmtId="10" fontId="0" fillId="0" borderId="10" xfId="1" applyNumberFormat="1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178" fontId="7" fillId="0" borderId="0" xfId="0" applyNumberFormat="1" applyFont="1" applyAlignment="1">
      <alignment horizontal="center"/>
    </xf>
    <xf numFmtId="178" fontId="7" fillId="0" borderId="0" xfId="0" applyNumberFormat="1" applyFont="1"/>
    <xf numFmtId="0" fontId="7" fillId="0" borderId="0" xfId="0" applyFont="1" applyAlignment="1">
      <alignment horizontal="center" wrapText="1"/>
    </xf>
    <xf numFmtId="178" fontId="7" fillId="0" borderId="11" xfId="0" applyNumberFormat="1" applyFont="1" applyBorder="1" applyAlignment="1">
      <alignment horizontal="center"/>
    </xf>
    <xf numFmtId="178" fontId="7" fillId="0" borderId="12" xfId="0" applyNumberFormat="1" applyFont="1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9" xfId="0" applyFont="1" applyBorder="1"/>
    <xf numFmtId="0" fontId="7" fillId="0" borderId="23" xfId="0" applyFont="1" applyBorder="1"/>
    <xf numFmtId="10" fontId="12" fillId="4" borderId="24" xfId="0" applyNumberFormat="1" applyFont="1" applyFill="1" applyBorder="1" applyAlignment="1">
      <alignment horizontal="center" wrapText="1"/>
    </xf>
    <xf numFmtId="0" fontId="7" fillId="0" borderId="25" xfId="0" applyFont="1" applyBorder="1"/>
    <xf numFmtId="0" fontId="7" fillId="0" borderId="26" xfId="0" applyFont="1" applyBorder="1" applyAlignment="1">
      <alignment horizontal="center"/>
    </xf>
    <xf numFmtId="179" fontId="7" fillId="0" borderId="14" xfId="0" applyNumberFormat="1" applyFont="1" applyBorder="1" applyAlignment="1">
      <alignment horizontal="center"/>
    </xf>
    <xf numFmtId="179" fontId="7" fillId="0" borderId="13" xfId="0" applyNumberFormat="1" applyFont="1" applyBorder="1" applyAlignment="1">
      <alignment horizontal="center"/>
    </xf>
    <xf numFmtId="0" fontId="7" fillId="0" borderId="22" xfId="0" applyFont="1" applyBorder="1"/>
    <xf numFmtId="0" fontId="10" fillId="5" borderId="29" xfId="0" applyFont="1" applyFill="1" applyBorder="1" applyAlignment="1">
      <alignment vertical="center"/>
    </xf>
    <xf numFmtId="0" fontId="11" fillId="5" borderId="29" xfId="0" applyFont="1" applyFill="1" applyBorder="1" applyAlignment="1">
      <alignment horizontal="center" vertical="center" wrapText="1"/>
    </xf>
    <xf numFmtId="0" fontId="14" fillId="5" borderId="29" xfId="0" applyFont="1" applyFill="1" applyBorder="1" applyAlignment="1">
      <alignment horizontal="center" vertical="center" wrapText="1"/>
    </xf>
    <xf numFmtId="0" fontId="7" fillId="0" borderId="27" xfId="0" applyFont="1" applyBorder="1"/>
    <xf numFmtId="2" fontId="7" fillId="0" borderId="28" xfId="0" applyNumberFormat="1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0" borderId="30" xfId="0" applyFont="1" applyBorder="1" applyAlignment="1">
      <alignment wrapText="1"/>
    </xf>
    <xf numFmtId="0" fontId="16" fillId="5" borderId="37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/>
    </xf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7" fillId="0" borderId="46" xfId="0" applyFont="1" applyBorder="1" applyAlignment="1">
      <alignment wrapText="1"/>
    </xf>
    <xf numFmtId="0" fontId="7" fillId="0" borderId="47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179" fontId="7" fillId="0" borderId="49" xfId="0" applyNumberFormat="1" applyFont="1" applyBorder="1" applyAlignment="1">
      <alignment horizontal="center"/>
    </xf>
    <xf numFmtId="179" fontId="7" fillId="0" borderId="50" xfId="0" applyNumberFormat="1" applyFont="1" applyBorder="1" applyAlignment="1">
      <alignment horizontal="center"/>
    </xf>
    <xf numFmtId="179" fontId="7" fillId="0" borderId="51" xfId="0" applyNumberFormat="1" applyFont="1" applyBorder="1" applyAlignment="1">
      <alignment horizontal="center" vertical="center"/>
    </xf>
    <xf numFmtId="179" fontId="7" fillId="0" borderId="52" xfId="0" applyNumberFormat="1" applyFont="1" applyBorder="1" applyAlignment="1">
      <alignment horizontal="center" vertical="center"/>
    </xf>
    <xf numFmtId="179" fontId="7" fillId="0" borderId="53" xfId="0" applyNumberFormat="1" applyFont="1" applyBorder="1" applyAlignment="1">
      <alignment horizontal="center" vertical="center"/>
    </xf>
    <xf numFmtId="179" fontId="7" fillId="0" borderId="54" xfId="0" applyNumberFormat="1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6" borderId="55" xfId="0" applyFill="1" applyBorder="1"/>
    <xf numFmtId="0" fontId="0" fillId="6" borderId="0" xfId="0" applyFill="1"/>
    <xf numFmtId="180" fontId="0" fillId="6" borderId="56" xfId="0" applyNumberFormat="1" applyFill="1" applyBorder="1"/>
    <xf numFmtId="182" fontId="0" fillId="6" borderId="56" xfId="0" applyNumberFormat="1" applyFill="1" applyBorder="1"/>
    <xf numFmtId="183" fontId="0" fillId="6" borderId="1" xfId="1" applyNumberFormat="1" applyFont="1" applyFill="1" applyBorder="1"/>
    <xf numFmtId="0" fontId="0" fillId="6" borderId="1" xfId="1" applyNumberFormat="1" applyFont="1" applyFill="1" applyBorder="1"/>
    <xf numFmtId="0" fontId="0" fillId="6" borderId="55" xfId="0" applyNumberFormat="1" applyFill="1" applyBorder="1"/>
    <xf numFmtId="0" fontId="0" fillId="6" borderId="1" xfId="0" applyNumberFormat="1" applyFill="1" applyBorder="1"/>
  </cellXfs>
  <cellStyles count="2">
    <cellStyle name="百分比" xfId="1" builtinId="5"/>
    <cellStyle name="常规" xfId="0" builtinId="0"/>
  </cellStyles>
  <dxfs count="6">
    <dxf>
      <font>
        <color rgb="FF00B050"/>
      </font>
    </dxf>
    <dxf>
      <font>
        <color rgb="FFFF0000"/>
      </font>
    </dxf>
    <dxf>
      <font>
        <i/>
        <name val="Consolas"/>
      </font>
      <numFmt numFmtId="14" formatCode="0.00%"/>
      <fill>
        <patternFill patternType="solid">
          <fgColor indexed="64"/>
          <bgColor theme="3" tint="0.89999084444715716"/>
        </patternFill>
      </fill>
      <alignment horizontal="center" wrapText="1"/>
      <border>
        <left style="thick">
          <color rgb="FF0F9ED5"/>
        </left>
        <right style="thick">
          <color rgb="FF0F9ED5"/>
        </right>
        <top style="dashed">
          <color rgb="FF0F9ED5"/>
        </top>
        <bottom style="dashed">
          <color rgb="FF0F9ED5"/>
        </bottom>
        <vertical style="medium">
          <color rgb="FF0F9ED5"/>
        </vertical>
        <horizontal style="dashed">
          <color rgb="FF0F9ED5"/>
        </horizontal>
      </border>
    </dxf>
    <dxf>
      <font>
        <b val="0"/>
        <name val="Consolas"/>
      </font>
      <border>
        <left style="medium">
          <color rgb="FF0F9ED5"/>
        </left>
        <right style="medium">
          <color rgb="FF0F9ED5"/>
        </right>
        <top style="thick">
          <color rgb="FF0F9ED5"/>
        </top>
        <bottom style="thick">
          <color rgb="FF0F9ED5"/>
        </bottom>
        <vertical style="medium">
          <color rgb="FF0F9ED5"/>
        </vertical>
        <horizontal style="thick">
          <color rgb="FF0F9ED5"/>
        </horizontal>
      </border>
    </dxf>
    <dxf>
      <font>
        <name val="Consolas"/>
      </font>
    </dxf>
    <dxf>
      <font>
        <b/>
        <name val="Consolas"/>
      </font>
      <fill>
        <patternFill patternType="solid">
          <fgColor indexed="64"/>
          <bgColor rgb="FF29A5D6"/>
        </patternFill>
      </fill>
    </dxf>
  </dxfs>
  <tableStyles count="0" defaultTableStyle="TableStyleMedium2" defaultPivotStyle="PivotStyleLight16"/>
  <colors>
    <mruColors>
      <color rgb="FF0F9ED5"/>
      <color rgb="FFD9D9D9"/>
      <color rgb="FF3DADD9"/>
      <color rgb="FF9ECBF7"/>
      <color rgb="FFDAE9F8"/>
      <color rgb="FF29A5D6"/>
      <color rgb="FF139FD6"/>
      <color rgb="FFE6F2FF"/>
      <color rgb="FFE1EC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Balance PV against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'Balance sheet'!$F$5:$F$47</c:f>
              <c:strCach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 </c:v>
                </c:pt>
              </c:strCache>
            </c:strRef>
          </c:cat>
          <c:val>
            <c:numRef>
              <c:f>'Balance sheet'!$L$5:$L$47</c:f>
              <c:numCache>
                <c:formatCode>[$£-809]#,##0.00</c:formatCode>
                <c:ptCount val="43"/>
                <c:pt idx="0">
                  <c:v>-268579559.36987108</c:v>
                </c:pt>
                <c:pt idx="1">
                  <c:v>-268827917.2985965</c:v>
                </c:pt>
                <c:pt idx="2">
                  <c:v>-201148938.17155457</c:v>
                </c:pt>
                <c:pt idx="3">
                  <c:v>-136649775.02572593</c:v>
                </c:pt>
                <c:pt idx="4">
                  <c:v>-74869200.62370047</c:v>
                </c:pt>
                <c:pt idx="5">
                  <c:v>-15585386.52464846</c:v>
                </c:pt>
                <c:pt idx="6">
                  <c:v>41360778.423541829</c:v>
                </c:pt>
                <c:pt idx="7">
                  <c:v>99037134.64867413</c:v>
                </c:pt>
                <c:pt idx="8">
                  <c:v>157472907.5022437</c:v>
                </c:pt>
                <c:pt idx="9">
                  <c:v>216691470.63464922</c:v>
                </c:pt>
                <c:pt idx="10">
                  <c:v>276709970.24114698</c:v>
                </c:pt>
                <c:pt idx="11">
                  <c:v>337538935.1400007</c:v>
                </c:pt>
                <c:pt idx="12">
                  <c:v>399196196.91397035</c:v>
                </c:pt>
                <c:pt idx="13">
                  <c:v>461685510.03907466</c:v>
                </c:pt>
                <c:pt idx="14">
                  <c:v>525010457.0273068</c:v>
                </c:pt>
                <c:pt idx="15">
                  <c:v>589181923.89530337</c:v>
                </c:pt>
                <c:pt idx="16">
                  <c:v>654188160.52231252</c:v>
                </c:pt>
                <c:pt idx="17">
                  <c:v>720024261.23429513</c:v>
                </c:pt>
                <c:pt idx="18">
                  <c:v>786669136.2939297</c:v>
                </c:pt>
                <c:pt idx="19">
                  <c:v>854108372.56490183</c:v>
                </c:pt>
                <c:pt idx="20">
                  <c:v>922302462.44706666</c:v>
                </c:pt>
                <c:pt idx="21">
                  <c:v>991201689.4497683</c:v>
                </c:pt>
                <c:pt idx="22">
                  <c:v>1060753873.8496819</c:v>
                </c:pt>
                <c:pt idx="23">
                  <c:v>1130870658.5633521</c:v>
                </c:pt>
                <c:pt idx="24">
                  <c:v>1201442521.7293861</c:v>
                </c:pt>
                <c:pt idx="25">
                  <c:v>1272346310.4507928</c:v>
                </c:pt>
                <c:pt idx="26">
                  <c:v>1343409438.7815089</c:v>
                </c:pt>
                <c:pt idx="27">
                  <c:v>1414433889.2212474</c:v>
                </c:pt>
                <c:pt idx="28">
                  <c:v>1485167800.9163043</c:v>
                </c:pt>
                <c:pt idx="29">
                  <c:v>1555339277.4241126</c:v>
                </c:pt>
                <c:pt idx="30">
                  <c:v>1624618271.4568424</c:v>
                </c:pt>
                <c:pt idx="31">
                  <c:v>1692641865.4680974</c:v>
                </c:pt>
                <c:pt idx="32">
                  <c:v>1759051119.2026732</c:v>
                </c:pt>
                <c:pt idx="33">
                  <c:v>1823511223.5905588</c:v>
                </c:pt>
                <c:pt idx="34">
                  <c:v>1885742991.6846743</c:v>
                </c:pt>
                <c:pt idx="35">
                  <c:v>1945626743.5459869</c:v>
                </c:pt>
                <c:pt idx="36">
                  <c:v>2003262861.2223589</c:v>
                </c:pt>
                <c:pt idx="37">
                  <c:v>1956072921.1917291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5-4EEB-BF5C-719D8490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136864"/>
        <c:axId val="1866137344"/>
      </c:lineChart>
      <c:catAx>
        <c:axId val="1866136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layout>
            <c:manualLayout>
              <c:xMode val="edge"/>
              <c:yMode val="edge"/>
              <c:x val="0.57042000558377937"/>
              <c:y val="0.881816374870197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137344"/>
        <c:crosses val="autoZero"/>
        <c:auto val="1"/>
        <c:lblAlgn val="ctr"/>
        <c:lblOffset val="100"/>
        <c:noMultiLvlLbl val="0"/>
      </c:catAx>
      <c:valAx>
        <c:axId val="1866137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Balance PV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13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Maintainance and Leasing costs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Maintainance costs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'Balance sheet'!$F$5:$F$47</c:f>
              <c:strCach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 </c:v>
                </c:pt>
              </c:strCache>
            </c:strRef>
          </c:cat>
          <c:val>
            <c:numRef>
              <c:f>'Balance sheet'!$I$5:$I$47</c:f>
              <c:numCache>
                <c:formatCode>[$£-809]#,##0.00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944248.28942946636</c:v>
                </c:pt>
                <c:pt idx="3">
                  <c:v>1808456.0930166407</c:v>
                </c:pt>
                <c:pt idx="4">
                  <c:v>2306603.5440930426</c:v>
                </c:pt>
                <c:pt idx="5">
                  <c:v>2680859.422415352</c:v>
                </c:pt>
                <c:pt idx="6">
                  <c:v>2987348.1866750624</c:v>
                </c:pt>
                <c:pt idx="7">
                  <c:v>3270082.9709868175</c:v>
                </c:pt>
                <c:pt idx="8">
                  <c:v>3536406.074489302</c:v>
                </c:pt>
                <c:pt idx="9">
                  <c:v>3794910.8498116331</c:v>
                </c:pt>
                <c:pt idx="10">
                  <c:v>4055558.3509310912</c:v>
                </c:pt>
                <c:pt idx="11">
                  <c:v>4329802.4113378925</c:v>
                </c:pt>
                <c:pt idx="12">
                  <c:v>4605827.3150606835</c:v>
                </c:pt>
                <c:pt idx="13">
                  <c:v>4908753.8223904166</c:v>
                </c:pt>
                <c:pt idx="14">
                  <c:v>5240577.8504630271</c:v>
                </c:pt>
                <c:pt idx="15">
                  <c:v>5589616.3370682942</c:v>
                </c:pt>
                <c:pt idx="16">
                  <c:v>5999521.5351199694</c:v>
                </c:pt>
                <c:pt idx="17">
                  <c:v>6460841.8874454424</c:v>
                </c:pt>
                <c:pt idx="18">
                  <c:v>7008313.2263289774</c:v>
                </c:pt>
                <c:pt idx="19">
                  <c:v>7633705.7188182017</c:v>
                </c:pt>
                <c:pt idx="20">
                  <c:v>8392641.7728550639</c:v>
                </c:pt>
                <c:pt idx="21">
                  <c:v>9314111.220630547</c:v>
                </c:pt>
                <c:pt idx="22">
                  <c:v>10412718.273621313</c:v>
                </c:pt>
                <c:pt idx="23">
                  <c:v>11776731.689295687</c:v>
                </c:pt>
                <c:pt idx="24">
                  <c:v>13468001.212452872</c:v>
                </c:pt>
                <c:pt idx="25">
                  <c:v>15535790.839945808</c:v>
                </c:pt>
                <c:pt idx="26">
                  <c:v>18114673.714148089</c:v>
                </c:pt>
                <c:pt idx="27">
                  <c:v>21293003.033726674</c:v>
                </c:pt>
                <c:pt idx="28">
                  <c:v>25232834.246377483</c:v>
                </c:pt>
                <c:pt idx="29">
                  <c:v>30025561.805030737</c:v>
                </c:pt>
                <c:pt idx="30">
                  <c:v>35862785.701033302</c:v>
                </c:pt>
                <c:pt idx="31">
                  <c:v>42885509.9261254</c:v>
                </c:pt>
                <c:pt idx="32">
                  <c:v>51148509.055446237</c:v>
                </c:pt>
                <c:pt idx="33">
                  <c:v>60655196.348700836</c:v>
                </c:pt>
                <c:pt idx="34">
                  <c:v>71321897.150377706</c:v>
                </c:pt>
                <c:pt idx="35">
                  <c:v>82770812.850309417</c:v>
                </c:pt>
                <c:pt idx="36">
                  <c:v>94422164.133654073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2-4B67-8BA8-7A36E5269317}"/>
            </c:ext>
          </c:extLst>
        </c:ser>
        <c:ser>
          <c:idx val="1"/>
          <c:order val="1"/>
          <c:tx>
            <c:v>Leasing costs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'Balance sheet'!$F$5:$F$47</c:f>
              <c:strCach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 </c:v>
                </c:pt>
              </c:strCache>
            </c:strRef>
          </c:cat>
          <c:val>
            <c:numRef>
              <c:f>'Balance sheet'!$J$5:$J$47</c:f>
              <c:numCache>
                <c:formatCode>[$£-809]#,##0.00</c:formatCode>
                <c:ptCount val="43"/>
                <c:pt idx="0">
                  <c:v>0</c:v>
                </c:pt>
                <c:pt idx="1">
                  <c:v>266984.77337985497</c:v>
                </c:pt>
                <c:pt idx="2">
                  <c:v>9091735.1418795418</c:v>
                </c:pt>
                <c:pt idx="3">
                  <c:v>9400601.4047770314</c:v>
                </c:pt>
                <c:pt idx="4">
                  <c:v>9720277.9868759327</c:v>
                </c:pt>
                <c:pt idx="5">
                  <c:v>10051143.249348292</c:v>
                </c:pt>
                <c:pt idx="6">
                  <c:v>10393588.796007186</c:v>
                </c:pt>
                <c:pt idx="7">
                  <c:v>10748019.936799143</c:v>
                </c:pt>
                <c:pt idx="8">
                  <c:v>11114856.167518817</c:v>
                </c:pt>
                <c:pt idx="9">
                  <c:v>11494531.66631368</c:v>
                </c:pt>
                <c:pt idx="10">
                  <c:v>11887495.807566363</c:v>
                </c:pt>
                <c:pt idx="11">
                  <c:v>12294213.693762889</c:v>
                </c:pt>
                <c:pt idx="12">
                  <c:v>12715166.705976296</c:v>
                </c:pt>
                <c:pt idx="13">
                  <c:v>13150853.07361717</c:v>
                </c:pt>
                <c:pt idx="14">
                  <c:v>13601788.464125471</c:v>
                </c:pt>
                <c:pt idx="15">
                  <c:v>14068506.59330157</c:v>
                </c:pt>
                <c:pt idx="16">
                  <c:v>14551559.856998831</c:v>
                </c:pt>
                <c:pt idx="17">
                  <c:v>15051519.98492549</c:v>
                </c:pt>
                <c:pt idx="18">
                  <c:v>15568978.717329588</c:v>
                </c:pt>
                <c:pt idx="19">
                  <c:v>16104548.505367827</c:v>
                </c:pt>
                <c:pt idx="20">
                  <c:v>16658863.235987402</c:v>
                </c:pt>
                <c:pt idx="21">
                  <c:v>17232578.982178666</c:v>
                </c:pt>
                <c:pt idx="22">
                  <c:v>17826374.779486623</c:v>
                </c:pt>
                <c:pt idx="23">
                  <c:v>18440953.429700363</c:v>
                </c:pt>
                <c:pt idx="24">
                  <c:v>19077042.332671575</c:v>
                </c:pt>
                <c:pt idx="25">
                  <c:v>19735394.347246785</c:v>
                </c:pt>
                <c:pt idx="26">
                  <c:v>20416788.682332121</c:v>
                </c:pt>
                <c:pt idx="27">
                  <c:v>21122031.819145452</c:v>
                </c:pt>
                <c:pt idx="28">
                  <c:v>21851958.465747248</c:v>
                </c:pt>
                <c:pt idx="29">
                  <c:v>22607432.544980109</c:v>
                </c:pt>
                <c:pt idx="30">
                  <c:v>23389348.216986112</c:v>
                </c:pt>
                <c:pt idx="31">
                  <c:v>24198630.937512331</c:v>
                </c:pt>
                <c:pt idx="32">
                  <c:v>25036238.55325697</c:v>
                </c:pt>
                <c:pt idx="33">
                  <c:v>25903162.435552657</c:v>
                </c:pt>
                <c:pt idx="34">
                  <c:v>26800428.653728705</c:v>
                </c:pt>
                <c:pt idx="35">
                  <c:v>27729099.189540911</c:v>
                </c:pt>
                <c:pt idx="36">
                  <c:v>28690273.194106549</c:v>
                </c:pt>
                <c:pt idx="37">
                  <c:v>266984.77337985497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2-4B67-8BA8-7A36E5269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41328"/>
        <c:axId val="51043728"/>
      </c:lineChart>
      <c:catAx>
        <c:axId val="5104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3728"/>
        <c:crosses val="autoZero"/>
        <c:auto val="1"/>
        <c:lblAlgn val="ctr"/>
        <c:lblOffset val="100"/>
        <c:noMultiLvlLbl val="0"/>
      </c:catAx>
      <c:valAx>
        <c:axId val="510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521925</xdr:colOff>
      <xdr:row>3</xdr:row>
      <xdr:rowOff>25367</xdr:rowOff>
    </xdr:from>
    <xdr:to>
      <xdr:col>21</xdr:col>
      <xdr:colOff>1377324</xdr:colOff>
      <xdr:row>20</xdr:row>
      <xdr:rowOff>98380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9F6CE-D4F3-F7E1-F269-450A20AED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508836</xdr:colOff>
      <xdr:row>22</xdr:row>
      <xdr:rowOff>119813</xdr:rowOff>
    </xdr:from>
    <xdr:to>
      <xdr:col>21</xdr:col>
      <xdr:colOff>1361908</xdr:colOff>
      <xdr:row>40</xdr:row>
      <xdr:rowOff>108617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909E05-22A5-3526-1130-78AAF6F7C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ia, Yun" id="{7DFF23E7-A5C5-4D0B-9E7A-7839F5968AF6}" userId="S::Yun.Jia@bayes.city.ac.uk::a6c8e7fc-3c96-44b8-8650-15207655d87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EECBC-E714-4A8B-A4BE-793B2619D276}" name="Table1" displayName="Table1" ref="B4:C16" totalsRowShown="0" headerRowDxfId="5" dataDxfId="4">
  <autoFilter ref="B4:C16" xr:uid="{DD0EECBC-E714-4A8B-A4BE-793B2619D276}"/>
  <tableColumns count="2">
    <tableColumn id="1" xr3:uid="{0D2F53E3-FF69-42BB-B43E-3FB6919FF727}" name="Parameters" dataDxfId="3"/>
    <tableColumn id="2" xr3:uid="{5BFBDD5D-FBDD-49DF-8176-6632C1876335}" name="Value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5-01-13T21:36:08.40" personId="{7DFF23E7-A5C5-4D0B-9E7A-7839F5968AF6}" id="{E5C66DAB-DC64-4548-A782-3E69D0CD5CBC}">
    <text>Unnecessary column</text>
  </threadedComment>
  <threadedComment ref="I7" dT="2025-01-13T21:47:56.12" personId="{7DFF23E7-A5C5-4D0B-9E7A-7839F5968AF6}" id="{5FAC9032-C3F9-49E9-9784-7C72B39FDFD6}">
    <text>Inefficient formula</text>
  </threadedComment>
  <threadedComment ref="D12" dT="2025-01-13T21:35:51.53" personId="{7DFF23E7-A5C5-4D0B-9E7A-7839F5968AF6}" id="{4A8B6491-D4F5-4A7B-A2F2-0D9179524DCD}">
    <text>Please check your validation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BCD3-9CA9-41A7-A2A3-6895D7FE7A24}">
  <dimension ref="B1:V48"/>
  <sheetViews>
    <sheetView tabSelected="1" zoomScale="70" zoomScaleNormal="70" workbookViewId="0">
      <selection activeCell="I43" sqref="I43"/>
    </sheetView>
  </sheetViews>
  <sheetFormatPr defaultColWidth="9.1640625" defaultRowHeight="14.5" x14ac:dyDescent="0.35"/>
  <cols>
    <col min="1" max="1" width="2.83203125" style="14" customWidth="1"/>
    <col min="2" max="2" width="38.58203125" style="14" bestFit="1" customWidth="1"/>
    <col min="3" max="3" width="14.1640625" style="15" bestFit="1" customWidth="1"/>
    <col min="4" max="5" width="5.75" style="16" customWidth="1"/>
    <col min="6" max="6" width="7" style="14" bestFit="1" customWidth="1"/>
    <col min="7" max="7" width="21.4140625" style="14" bestFit="1" customWidth="1"/>
    <col min="8" max="8" width="19" style="14" bestFit="1" customWidth="1"/>
    <col min="9" max="9" width="22.58203125" style="14" bestFit="1" customWidth="1"/>
    <col min="10" max="10" width="17.75" style="14" bestFit="1" customWidth="1"/>
    <col min="11" max="11" width="20.25" style="14" bestFit="1" customWidth="1"/>
    <col min="12" max="12" width="20.25" style="17" bestFit="1" customWidth="1"/>
    <col min="13" max="13" width="21.4140625" style="14" bestFit="1" customWidth="1"/>
    <col min="14" max="14" width="37.1640625" style="14" bestFit="1" customWidth="1"/>
    <col min="15" max="15" width="8" style="14" customWidth="1"/>
    <col min="16" max="17" width="16.1640625" style="14" bestFit="1" customWidth="1"/>
    <col min="18" max="18" width="15.25" style="14" bestFit="1" customWidth="1"/>
    <col min="19" max="20" width="16.58203125" style="14" bestFit="1" customWidth="1"/>
    <col min="21" max="21" width="11.75" style="14" bestFit="1" customWidth="1"/>
    <col min="22" max="22" width="24.83203125" style="14" customWidth="1"/>
    <col min="23" max="23" width="15.1640625" style="14" customWidth="1"/>
    <col min="24" max="16384" width="9.1640625" style="14"/>
  </cols>
  <sheetData>
    <row r="1" spans="2:22" ht="15" thickBot="1" x14ac:dyDescent="0.4">
      <c r="D1" s="19"/>
      <c r="E1" s="20"/>
    </row>
    <row r="2" spans="2:22" ht="15" customHeight="1" thickTop="1" x14ac:dyDescent="0.35">
      <c r="B2" s="58" t="s">
        <v>0</v>
      </c>
      <c r="C2" s="59"/>
      <c r="D2" s="19"/>
      <c r="E2" s="20"/>
      <c r="F2" s="62" t="s">
        <v>1</v>
      </c>
      <c r="G2" s="63"/>
      <c r="H2" s="63"/>
      <c r="I2" s="63"/>
      <c r="J2" s="63"/>
      <c r="K2" s="63"/>
      <c r="L2" s="63"/>
      <c r="M2" s="63"/>
      <c r="N2" s="64"/>
    </row>
    <row r="3" spans="2:22" ht="15" customHeight="1" thickBot="1" x14ac:dyDescent="0.65">
      <c r="B3" s="60"/>
      <c r="C3" s="61"/>
      <c r="D3" s="21"/>
      <c r="E3" s="22"/>
      <c r="F3" s="65"/>
      <c r="G3" s="66"/>
      <c r="H3" s="66"/>
      <c r="I3" s="66"/>
      <c r="J3" s="66"/>
      <c r="K3" s="66"/>
      <c r="L3" s="66"/>
      <c r="M3" s="66"/>
      <c r="N3" s="67"/>
    </row>
    <row r="4" spans="2:22" ht="16.5" customHeight="1" thickTop="1" thickBot="1" x14ac:dyDescent="0.4">
      <c r="B4" s="33" t="s">
        <v>2</v>
      </c>
      <c r="C4" s="34" t="s">
        <v>3</v>
      </c>
      <c r="D4" s="23"/>
      <c r="E4" s="24"/>
      <c r="F4" s="41" t="s">
        <v>4</v>
      </c>
      <c r="G4" s="41" t="s">
        <v>5</v>
      </c>
      <c r="H4" s="41" t="s">
        <v>6</v>
      </c>
      <c r="I4" s="41" t="s">
        <v>7</v>
      </c>
      <c r="J4" s="42" t="s">
        <v>8</v>
      </c>
      <c r="K4" s="41" t="s">
        <v>9</v>
      </c>
      <c r="L4" s="41" t="s">
        <v>10</v>
      </c>
      <c r="M4" s="41" t="s">
        <v>11</v>
      </c>
      <c r="N4" s="41" t="s">
        <v>12</v>
      </c>
      <c r="S4" s="15"/>
      <c r="V4" s="15"/>
    </row>
    <row r="5" spans="2:22" ht="15" customHeight="1" thickTop="1" thickBot="1" x14ac:dyDescent="0.4">
      <c r="B5" s="32" t="s">
        <v>13</v>
      </c>
      <c r="C5" s="73">
        <v>35</v>
      </c>
      <c r="D5" s="23"/>
      <c r="E5" s="24"/>
      <c r="F5" s="38">
        <v>0</v>
      </c>
      <c r="G5" s="30">
        <f>-N5</f>
        <v>-268579559.36987108</v>
      </c>
      <c r="H5" s="30">
        <v>0</v>
      </c>
      <c r="I5" s="30">
        <v>0</v>
      </c>
      <c r="J5" s="30">
        <v>0</v>
      </c>
      <c r="K5" s="30">
        <f t="shared" ref="K5:K14" si="0">H5-(I5+J5)</f>
        <v>0</v>
      </c>
      <c r="L5" s="30">
        <f t="shared" ref="L5:L14" si="1">M5*(IF(G5&lt;0,(1/(1+$C$13/100)^(F5)),(1/(1+$C$13/100)^($C$27))*(1/(1+$C$14/100)^(F5-$C$27))))</f>
        <v>-268579559.36987108</v>
      </c>
      <c r="M5" s="51">
        <f>G5</f>
        <v>-268579559.36987108</v>
      </c>
      <c r="N5" s="52">
        <f>(IF($C$16="Offshore",$C$10*EXP(0.02*$C$6)*1.3,$C$10*EXP(0.02*$C$6)))*1000000*(1-$C$15/100)</f>
        <v>268579559.36987108</v>
      </c>
    </row>
    <row r="6" spans="2:22" ht="15" customHeight="1" thickTop="1" thickBot="1" x14ac:dyDescent="0.4">
      <c r="B6" s="25" t="s">
        <v>14</v>
      </c>
      <c r="C6" s="74">
        <v>245</v>
      </c>
      <c r="D6" s="23"/>
      <c r="E6" s="24"/>
      <c r="F6" s="39">
        <v>1</v>
      </c>
      <c r="G6" s="31">
        <f t="shared" ref="G6:G14" si="2">M5</f>
        <v>-268579559.36987108</v>
      </c>
      <c r="H6" s="31">
        <v>0</v>
      </c>
      <c r="I6" s="31">
        <f>IF($C$6&lt;30,'Maintainance data'!C5*$C$6,IF($C$6&lt;100,'Maintainance data'!D5*$C$6,IF($C$6&lt;=250,'Maintainance data'!E5," ")))*H6</f>
        <v>0</v>
      </c>
      <c r="J6" s="31">
        <f t="shared" ref="J6:J14" si="3">IF($C$16="Offshore",(($C$8*0.1*$C$23)+(($C$9/100)*H6)),($C$8*$C$23)+(($C$9/100)*H6))</f>
        <v>266984.77337985497</v>
      </c>
      <c r="K6" s="31">
        <f t="shared" si="0"/>
        <v>-266984.77337985497</v>
      </c>
      <c r="L6" s="31">
        <f t="shared" si="1"/>
        <v>-268827917.2985965</v>
      </c>
      <c r="M6" s="31">
        <f t="shared" ref="M6:M14" si="4">IF(M5&lt;0,M5*(1+$C$13/100),M5*(1+$C$14/100))+K6</f>
        <v>-288990011.09599125</v>
      </c>
      <c r="N6" s="53"/>
    </row>
    <row r="7" spans="2:22" ht="15" customHeight="1" thickTop="1" thickBot="1" x14ac:dyDescent="0.4">
      <c r="B7" s="25" t="s">
        <v>15</v>
      </c>
      <c r="C7" s="74">
        <v>35</v>
      </c>
      <c r="D7" s="23"/>
      <c r="E7" s="24"/>
      <c r="F7" s="39">
        <v>2</v>
      </c>
      <c r="G7" s="31">
        <f t="shared" si="2"/>
        <v>-288990011.09599125</v>
      </c>
      <c r="H7" s="31">
        <f>$C$11*(1+$C$12/100)^(F7-1)*$C$25*365*24</f>
        <v>88247503.684996858</v>
      </c>
      <c r="I7" s="31">
        <f>IF($C$6&lt;30,'Maintainance data'!C5,IF($C$6&lt;100,'Maintainance data'!D5,IF($C$6&lt;=250,'Maintainance data'!E5," ")))*H7</f>
        <v>944248.28942946636</v>
      </c>
      <c r="J7" s="31">
        <f t="shared" si="3"/>
        <v>9091735.1418795418</v>
      </c>
      <c r="K7" s="31">
        <f t="shared" si="0"/>
        <v>78211520.253687844</v>
      </c>
      <c r="L7" s="31">
        <f t="shared" si="1"/>
        <v>-201148938.17155457</v>
      </c>
      <c r="M7" s="31">
        <f t="shared" si="4"/>
        <v>-232452741.67450273</v>
      </c>
      <c r="N7" s="53"/>
    </row>
    <row r="8" spans="2:22" ht="15" customHeight="1" thickTop="1" thickBot="1" x14ac:dyDescent="0.4">
      <c r="B8" s="25" t="s">
        <v>16</v>
      </c>
      <c r="C8" s="75">
        <v>12000</v>
      </c>
      <c r="D8" s="23"/>
      <c r="E8" s="24"/>
      <c r="F8" s="39">
        <v>3</v>
      </c>
      <c r="G8" s="31">
        <f t="shared" si="2"/>
        <v>-232452741.67450273</v>
      </c>
      <c r="H8" s="31">
        <f t="shared" ref="H7:H14" si="5">$C$11*(1+$C$12/100)^(F8-1)*$C$25*365*24</f>
        <v>91336166.313971758</v>
      </c>
      <c r="I8" s="31">
        <f>IF($C$6&lt;30,'Maintainance data'!C6,IF($C$6&lt;100,'Maintainance data'!D6,IF($C$6&lt;=250,'Maintainance data'!E6," ")))*H8</f>
        <v>1808456.0930166407</v>
      </c>
      <c r="J8" s="31">
        <f t="shared" si="3"/>
        <v>9400601.4047770314</v>
      </c>
      <c r="K8" s="31">
        <f t="shared" si="0"/>
        <v>80127108.816178083</v>
      </c>
      <c r="L8" s="31">
        <f t="shared" si="1"/>
        <v>-136649775.02572593</v>
      </c>
      <c r="M8" s="31">
        <f t="shared" si="4"/>
        <v>-169759588.48391235</v>
      </c>
      <c r="N8" s="53"/>
    </row>
    <row r="9" spans="2:22" ht="15" customHeight="1" thickTop="1" thickBot="1" x14ac:dyDescent="0.4">
      <c r="B9" s="25" t="s">
        <v>17</v>
      </c>
      <c r="C9" s="77">
        <v>10</v>
      </c>
      <c r="D9" s="23"/>
      <c r="E9" s="24"/>
      <c r="F9" s="38">
        <v>4</v>
      </c>
      <c r="G9" s="31">
        <f t="shared" si="2"/>
        <v>-169759588.48391235</v>
      </c>
      <c r="H9" s="31">
        <f t="shared" si="5"/>
        <v>94532932.134960771</v>
      </c>
      <c r="I9" s="31">
        <f>IF($C$6&lt;30,'Maintainance data'!C7,IF($C$6&lt;100,'Maintainance data'!D7,IF($C$6&lt;=250,'Maintainance data'!E7," ")))*H9</f>
        <v>2306603.5440930426</v>
      </c>
      <c r="J9" s="31">
        <f t="shared" si="3"/>
        <v>9720277.9868759327</v>
      </c>
      <c r="K9" s="31">
        <f t="shared" si="0"/>
        <v>82506050.603991792</v>
      </c>
      <c r="L9" s="31">
        <f t="shared" si="1"/>
        <v>-74869200.62370047</v>
      </c>
      <c r="M9" s="31">
        <f t="shared" si="4"/>
        <v>-99985507.016213968</v>
      </c>
      <c r="N9" s="53"/>
    </row>
    <row r="10" spans="2:22" ht="15" customHeight="1" thickTop="1" thickBot="1" x14ac:dyDescent="0.4">
      <c r="B10" s="25" t="s">
        <v>18</v>
      </c>
      <c r="C10" s="74">
        <v>2.5</v>
      </c>
      <c r="D10" s="23"/>
      <c r="E10" s="24"/>
      <c r="F10" s="39">
        <v>5</v>
      </c>
      <c r="G10" s="31">
        <f t="shared" si="2"/>
        <v>-99985507.016213968</v>
      </c>
      <c r="H10" s="31">
        <f t="shared" si="5"/>
        <v>97841584.759684369</v>
      </c>
      <c r="I10" s="31">
        <f>IF($C$6&lt;30,'Maintainance data'!C8,IF($C$6&lt;100,'Maintainance data'!D8,IF($C$6&lt;=250,'Maintainance data'!E8," ")))*H10</f>
        <v>2680859.422415352</v>
      </c>
      <c r="J10" s="31">
        <f t="shared" si="3"/>
        <v>10051143.249348292</v>
      </c>
      <c r="K10" s="31">
        <f t="shared" si="0"/>
        <v>85109582.087920725</v>
      </c>
      <c r="L10" s="31">
        <f t="shared" si="1"/>
        <v>-15585386.52464846</v>
      </c>
      <c r="M10" s="31">
        <f t="shared" si="4"/>
        <v>-22374837.954509288</v>
      </c>
      <c r="N10" s="53"/>
    </row>
    <row r="11" spans="2:22" ht="15" customHeight="1" thickTop="1" thickBot="1" x14ac:dyDescent="0.4">
      <c r="B11" s="25" t="s">
        <v>19</v>
      </c>
      <c r="C11" s="76">
        <v>0.18</v>
      </c>
      <c r="D11" s="23"/>
      <c r="E11" s="24"/>
      <c r="F11" s="39">
        <v>6</v>
      </c>
      <c r="G11" s="31">
        <f t="shared" si="2"/>
        <v>-22374837.954509288</v>
      </c>
      <c r="H11" s="31">
        <f t="shared" si="5"/>
        <v>101266040.22627331</v>
      </c>
      <c r="I11" s="31">
        <f>IF($C$6&lt;30,'Maintainance data'!C9,IF($C$6&lt;100,'Maintainance data'!D9,IF($C$6&lt;=250,'Maintainance data'!E9," ")))*H11</f>
        <v>2987348.1866750624</v>
      </c>
      <c r="J11" s="31">
        <f t="shared" si="3"/>
        <v>10393588.796007186</v>
      </c>
      <c r="K11" s="31">
        <f t="shared" si="0"/>
        <v>87885103.24359107</v>
      </c>
      <c r="L11" s="31">
        <f t="shared" si="1"/>
        <v>41360778.423541829</v>
      </c>
      <c r="M11" s="31">
        <f t="shared" si="4"/>
        <v>63832152.442493588</v>
      </c>
      <c r="N11" s="53"/>
    </row>
    <row r="12" spans="2:22" ht="15" customHeight="1" thickTop="1" thickBot="1" x14ac:dyDescent="0.4">
      <c r="B12" s="25" t="s">
        <v>20</v>
      </c>
      <c r="C12" s="78">
        <v>3.5</v>
      </c>
      <c r="D12" s="23"/>
      <c r="E12" s="24"/>
      <c r="F12" s="39">
        <v>7</v>
      </c>
      <c r="G12" s="31">
        <f t="shared" si="2"/>
        <v>63832152.442493588</v>
      </c>
      <c r="H12" s="31">
        <f t="shared" si="5"/>
        <v>104810351.63419287</v>
      </c>
      <c r="I12" s="31">
        <f>IF($C$6&lt;30,'Maintainance data'!C10,IF($C$6&lt;100,'Maintainance data'!D10,IF($C$6&lt;=250,'Maintainance data'!E10," ")))*H12</f>
        <v>3270082.9709868175</v>
      </c>
      <c r="J12" s="31">
        <f t="shared" si="3"/>
        <v>10748019.936799143</v>
      </c>
      <c r="K12" s="31">
        <f t="shared" si="0"/>
        <v>90792248.726406902</v>
      </c>
      <c r="L12" s="31">
        <f t="shared" si="1"/>
        <v>99037134.64867413</v>
      </c>
      <c r="M12" s="31">
        <f t="shared" si="4"/>
        <v>155901044.21775037</v>
      </c>
      <c r="N12" s="53"/>
    </row>
    <row r="13" spans="2:22" ht="15" customHeight="1" thickTop="1" thickBot="1" x14ac:dyDescent="0.4">
      <c r="B13" s="25" t="s">
        <v>21</v>
      </c>
      <c r="C13" s="79">
        <v>7.5</v>
      </c>
      <c r="D13" s="23"/>
      <c r="E13" s="24"/>
      <c r="F13" s="38">
        <v>8</v>
      </c>
      <c r="G13" s="31">
        <f t="shared" si="2"/>
        <v>155901044.21775037</v>
      </c>
      <c r="H13" s="31">
        <f t="shared" si="5"/>
        <v>108478713.94138962</v>
      </c>
      <c r="I13" s="31">
        <f>IF($C$6&lt;30,'Maintainance data'!C11,IF($C$6&lt;100,'Maintainance data'!D11,IF($C$6&lt;=250,'Maintainance data'!E11," ")))*H13</f>
        <v>3536406.074489302</v>
      </c>
      <c r="J13" s="31">
        <f t="shared" si="3"/>
        <v>11114856.167518817</v>
      </c>
      <c r="K13" s="31">
        <f t="shared" si="0"/>
        <v>93827451.6993815</v>
      </c>
      <c r="L13" s="31">
        <f t="shared" si="1"/>
        <v>157472907.5022437</v>
      </c>
      <c r="M13" s="31">
        <f t="shared" si="4"/>
        <v>252846516.80148688</v>
      </c>
      <c r="N13" s="53"/>
    </row>
    <row r="14" spans="2:22" ht="15" customHeight="1" thickTop="1" thickBot="1" x14ac:dyDescent="0.4">
      <c r="B14" s="25" t="s">
        <v>22</v>
      </c>
      <c r="C14" s="79">
        <v>2</v>
      </c>
      <c r="D14" s="23"/>
      <c r="E14" s="24"/>
      <c r="F14" s="39">
        <v>9</v>
      </c>
      <c r="G14" s="31">
        <f t="shared" si="2"/>
        <v>252846516.80148688</v>
      </c>
      <c r="H14" s="31">
        <f t="shared" si="5"/>
        <v>112275468.92933825</v>
      </c>
      <c r="I14" s="31">
        <f>IF($C$6&lt;30,'Maintainance data'!C12,IF($C$6&lt;100,'Maintainance data'!D12,IF($C$6&lt;=250,'Maintainance data'!E12," ")))*H14</f>
        <v>3794910.8498116331</v>
      </c>
      <c r="J14" s="31">
        <f t="shared" si="3"/>
        <v>11494531.66631368</v>
      </c>
      <c r="K14" s="31">
        <f t="shared" si="0"/>
        <v>96986026.413212925</v>
      </c>
      <c r="L14" s="31">
        <f t="shared" si="1"/>
        <v>216691470.63464922</v>
      </c>
      <c r="M14" s="31">
        <f t="shared" si="4"/>
        <v>354889473.55072951</v>
      </c>
      <c r="N14" s="53"/>
    </row>
    <row r="15" spans="2:22" ht="15" customHeight="1" thickTop="1" thickBot="1" x14ac:dyDescent="0.4">
      <c r="B15" s="25" t="s">
        <v>23</v>
      </c>
      <c r="C15" s="80">
        <v>20</v>
      </c>
      <c r="D15" s="23"/>
      <c r="E15" s="24"/>
      <c r="F15" s="39">
        <f>IF(F14=" "," ",IF(F14-2=$C$5," ",F14+1))</f>
        <v>10</v>
      </c>
      <c r="G15" s="31">
        <f>IF(F15=" "," ",M14)</f>
        <v>354889473.55072951</v>
      </c>
      <c r="H15" s="31">
        <f t="shared" ref="H15:H47" si="6">IF(F15=$C$5+2,0,IF(F15=" "," ",$C$11*(1+$C$12/100)^(F15-1)*$C$25*365*24))</f>
        <v>116205110.34186508</v>
      </c>
      <c r="I15" s="31">
        <f>IF(F15=" "," ",IF($C$6&lt;30,'Maintainance data'!C13,IF($C$6&lt;100,'Maintainance data'!D13,IF($C$6&lt;=250,'Maintainance data'!E13," ")))*H15)</f>
        <v>4055558.3509310912</v>
      </c>
      <c r="J15" s="31">
        <f t="shared" ref="J15:J47" si="7">IF(F15=" "," ",IF($C$16="Offshore",(($C$8*0.1*$C$23)+(($C$9/100)*H15)),($C$8*$C$23)+(($C$9/100)*H15)))</f>
        <v>11887495.807566363</v>
      </c>
      <c r="K15" s="31">
        <f>IF(F15=" "," ",H15-(I15+J15+IF(N15=" ",0,N15)))</f>
        <v>100262056.18336762</v>
      </c>
      <c r="L15" s="31">
        <f t="shared" ref="L15:L47" si="8">IF(F15=" "," ",M15*(IF(G15&lt;0,(1/(1+$C$13/100)^(F15)),(1/(1+$C$13/100)^($C$27))*(1/(1+$C$14/100)^(F15-$C$27)))))</f>
        <v>276709970.24114698</v>
      </c>
      <c r="M15" s="31">
        <f>IF(F15=" "," ",IF(M14&lt;0,M14*(1+$C$13/100),M14*(1+$C$14/100))+K15)</f>
        <v>462249319.20511174</v>
      </c>
      <c r="N15" s="53" t="str">
        <f>IF(F15=$C$5+2,(IF($C$16="Offshore",$C$10*EXP(0.02*$C$6)*1.3,$C$10*EXP(0.02*$C$6)))*1000000*0.4," ")</f>
        <v xml:space="preserve"> </v>
      </c>
    </row>
    <row r="16" spans="2:22" ht="15" customHeight="1" thickTop="1" thickBot="1" x14ac:dyDescent="0.4">
      <c r="B16" s="26" t="s">
        <v>24</v>
      </c>
      <c r="C16" s="27" t="s">
        <v>25</v>
      </c>
      <c r="D16" s="23"/>
      <c r="E16" s="24"/>
      <c r="F16" s="39">
        <f t="shared" ref="F16:F47" si="9">IF(F15=" "," ",IF(F15-2=$C$5," ",F15+1))</f>
        <v>11</v>
      </c>
      <c r="G16" s="31">
        <f t="shared" ref="G16:G47" si="10">IF(F16=" "," ",M15)</f>
        <v>462249319.20511174</v>
      </c>
      <c r="H16" s="31">
        <f t="shared" si="6"/>
        <v>120272289.20383033</v>
      </c>
      <c r="I16" s="31">
        <f>IF(F16=" "," ",IF($C$6&lt;30,'Maintainance data'!C14,IF($C$6&lt;100,'Maintainance data'!D14,IF($C$6&lt;=250,'Maintainance data'!E14," ")))*H16)</f>
        <v>4329802.4113378925</v>
      </c>
      <c r="J16" s="31">
        <f t="shared" si="7"/>
        <v>12294213.693762889</v>
      </c>
      <c r="K16" s="31">
        <f t="shared" ref="K16:K47" si="11">IF(F16=" "," ",H16-(I16+J16+IF(N16=" ",0,N16)))</f>
        <v>103648273.09872955</v>
      </c>
      <c r="L16" s="31">
        <f t="shared" si="8"/>
        <v>337538935.1400007</v>
      </c>
      <c r="M16" s="31">
        <f t="shared" ref="M16:M47" si="12">IF(F16=" "," ",IF(M15&lt;0,M15*(1+$C$13/100),M15*(1+$C$14/100))+K16)</f>
        <v>575142578.68794346</v>
      </c>
      <c r="N16" s="53" t="str">
        <f t="shared" ref="N16:N47" si="13">IF(F16=$C$5+2,(IF($C$16="Offshore",$C$10*EXP(0.02*$C$6)*1.3,$C$10*EXP(0.02*$C$6)))*1000000*0.4," ")</f>
        <v xml:space="preserve"> </v>
      </c>
    </row>
    <row r="17" spans="2:14" ht="15" customHeight="1" x14ac:dyDescent="0.35">
      <c r="C17" s="18"/>
      <c r="D17" s="23"/>
      <c r="E17" s="24"/>
      <c r="F17" s="39">
        <f t="shared" si="9"/>
        <v>12</v>
      </c>
      <c r="G17" s="31">
        <f t="shared" si="10"/>
        <v>575142578.68794346</v>
      </c>
      <c r="H17" s="31">
        <f t="shared" si="6"/>
        <v>124481819.32596441</v>
      </c>
      <c r="I17" s="31">
        <f>IF(F17=" "," ",IF($C$6&lt;30,'Maintainance data'!C15,IF($C$6&lt;100,'Maintainance data'!D15,IF($C$6&lt;=250,'Maintainance data'!E15," ")))*H17)</f>
        <v>4605827.3150606835</v>
      </c>
      <c r="J17" s="31">
        <f t="shared" si="7"/>
        <v>12715166.705976296</v>
      </c>
      <c r="K17" s="31">
        <f t="shared" si="11"/>
        <v>107160825.30492742</v>
      </c>
      <c r="L17" s="31">
        <f t="shared" si="8"/>
        <v>399196196.91397035</v>
      </c>
      <c r="M17" s="31">
        <f t="shared" si="12"/>
        <v>693806255.56662977</v>
      </c>
      <c r="N17" s="53" t="str">
        <f t="shared" si="13"/>
        <v xml:space="preserve"> </v>
      </c>
    </row>
    <row r="18" spans="2:14" ht="15" customHeight="1" x14ac:dyDescent="0.35">
      <c r="C18" s="46"/>
      <c r="D18" s="23"/>
      <c r="E18" s="24"/>
      <c r="F18" s="39">
        <f t="shared" si="9"/>
        <v>13</v>
      </c>
      <c r="G18" s="31">
        <f t="shared" si="10"/>
        <v>693806255.56662977</v>
      </c>
      <c r="H18" s="31">
        <f t="shared" si="6"/>
        <v>128838683.00237314</v>
      </c>
      <c r="I18" s="31">
        <f>IF(F18=" "," ",IF($C$6&lt;30,'Maintainance data'!C16,IF($C$6&lt;100,'Maintainance data'!D16,IF($C$6&lt;=250,'Maintainance data'!E16," ")))*H18)</f>
        <v>4908753.8223904166</v>
      </c>
      <c r="J18" s="31">
        <f t="shared" si="7"/>
        <v>13150853.07361717</v>
      </c>
      <c r="K18" s="31">
        <f t="shared" si="11"/>
        <v>110779076.10636556</v>
      </c>
      <c r="L18" s="31">
        <f t="shared" si="8"/>
        <v>461685510.03907466</v>
      </c>
      <c r="M18" s="31">
        <f t="shared" si="12"/>
        <v>818461456.78432798</v>
      </c>
      <c r="N18" s="53" t="str">
        <f t="shared" si="13"/>
        <v xml:space="preserve"> </v>
      </c>
    </row>
    <row r="19" spans="2:14" ht="15" customHeight="1" x14ac:dyDescent="0.35">
      <c r="B19" s="68" t="s">
        <v>26</v>
      </c>
      <c r="C19" s="69"/>
      <c r="D19" s="23"/>
      <c r="E19" s="24"/>
      <c r="F19" s="39">
        <f t="shared" si="9"/>
        <v>14</v>
      </c>
      <c r="G19" s="31">
        <f t="shared" si="10"/>
        <v>818461456.78432798</v>
      </c>
      <c r="H19" s="31">
        <f t="shared" si="6"/>
        <v>133348036.90745616</v>
      </c>
      <c r="I19" s="31">
        <f>IF(F19=" "," ",IF($C$6&lt;30,'Maintainance data'!C17,IF($C$6&lt;100,'Maintainance data'!D17,IF($C$6&lt;=250,'Maintainance data'!E17," ")))*H19)</f>
        <v>5240577.8504630271</v>
      </c>
      <c r="J19" s="31">
        <f t="shared" si="7"/>
        <v>13601788.464125471</v>
      </c>
      <c r="K19" s="31">
        <f t="shared" si="11"/>
        <v>114505670.59286766</v>
      </c>
      <c r="L19" s="31">
        <f t="shared" si="8"/>
        <v>525010457.0273068</v>
      </c>
      <c r="M19" s="31">
        <f t="shared" si="12"/>
        <v>949336356.51288211</v>
      </c>
      <c r="N19" s="53" t="str">
        <f t="shared" si="13"/>
        <v xml:space="preserve"> </v>
      </c>
    </row>
    <row r="20" spans="2:14" ht="15" customHeight="1" x14ac:dyDescent="0.35">
      <c r="B20" s="70"/>
      <c r="C20" s="71"/>
      <c r="D20" s="23"/>
      <c r="E20" s="24"/>
      <c r="F20" s="39">
        <f t="shared" si="9"/>
        <v>15</v>
      </c>
      <c r="G20" s="31">
        <f t="shared" si="10"/>
        <v>949336356.51288211</v>
      </c>
      <c r="H20" s="31">
        <f t="shared" si="6"/>
        <v>138015218.19921714</v>
      </c>
      <c r="I20" s="31">
        <f>IF(F20=" "," ",IF($C$6&lt;30,'Maintainance data'!C18,IF($C$6&lt;100,'Maintainance data'!D18,IF($C$6&lt;=250,'Maintainance data'!E18," ")))*H20)</f>
        <v>5589616.3370682942</v>
      </c>
      <c r="J20" s="31">
        <f t="shared" si="7"/>
        <v>14068506.59330157</v>
      </c>
      <c r="K20" s="31">
        <f t="shared" si="11"/>
        <v>118357095.26884727</v>
      </c>
      <c r="L20" s="31">
        <f t="shared" si="8"/>
        <v>589181923.89530337</v>
      </c>
      <c r="M20" s="31">
        <f t="shared" si="12"/>
        <v>1086680178.9119871</v>
      </c>
      <c r="N20" s="53" t="str">
        <f t="shared" si="13"/>
        <v xml:space="preserve"> </v>
      </c>
    </row>
    <row r="21" spans="2:14" ht="15" customHeight="1" x14ac:dyDescent="0.35">
      <c r="B21" s="33" t="s">
        <v>2</v>
      </c>
      <c r="C21" s="35" t="s">
        <v>3</v>
      </c>
      <c r="D21" s="23"/>
      <c r="E21" s="24"/>
      <c r="F21" s="39">
        <f t="shared" si="9"/>
        <v>16</v>
      </c>
      <c r="G21" s="31">
        <f t="shared" si="10"/>
        <v>1086680178.9119871</v>
      </c>
      <c r="H21" s="31">
        <f t="shared" si="6"/>
        <v>142845750.83618975</v>
      </c>
      <c r="I21" s="31">
        <f>IF(F21=" "," ",IF($C$6&lt;30,'Maintainance data'!C19,IF($C$6&lt;100,'Maintainance data'!D19,IF($C$6&lt;=250,'Maintainance data'!E19," ")))*H21)</f>
        <v>5999521.5351199694</v>
      </c>
      <c r="J21" s="31">
        <f t="shared" si="7"/>
        <v>14551559.856998831</v>
      </c>
      <c r="K21" s="31">
        <f t="shared" si="11"/>
        <v>122294669.44407095</v>
      </c>
      <c r="L21" s="31">
        <f t="shared" si="8"/>
        <v>654188160.52231252</v>
      </c>
      <c r="M21" s="31">
        <f t="shared" si="12"/>
        <v>1230708451.9342978</v>
      </c>
      <c r="N21" s="53" t="str">
        <f t="shared" si="13"/>
        <v xml:space="preserve"> </v>
      </c>
    </row>
    <row r="22" spans="2:14" ht="15" customHeight="1" x14ac:dyDescent="0.35">
      <c r="B22" s="56" t="s">
        <v>27</v>
      </c>
      <c r="C22" s="57"/>
      <c r="D22" s="23"/>
      <c r="E22" s="24"/>
      <c r="F22" s="39">
        <f t="shared" si="9"/>
        <v>17</v>
      </c>
      <c r="G22" s="31">
        <f t="shared" si="10"/>
        <v>1230708451.9342978</v>
      </c>
      <c r="H22" s="31">
        <f t="shared" si="6"/>
        <v>147845352.11545634</v>
      </c>
      <c r="I22" s="31">
        <f>IF(F22=" "," ",IF($C$6&lt;30,'Maintainance data'!C20,IF($C$6&lt;100,'Maintainance data'!D20,IF($C$6&lt;=250,'Maintainance data'!E20," ")))*H22)</f>
        <v>6460841.8874454424</v>
      </c>
      <c r="J22" s="31">
        <f t="shared" si="7"/>
        <v>15051519.98492549</v>
      </c>
      <c r="K22" s="31">
        <f t="shared" si="11"/>
        <v>126332990.24308541</v>
      </c>
      <c r="L22" s="31">
        <f t="shared" si="8"/>
        <v>720024261.23429513</v>
      </c>
      <c r="M22" s="31">
        <f t="shared" si="12"/>
        <v>1381655611.2160692</v>
      </c>
      <c r="N22" s="53" t="str">
        <f t="shared" si="13"/>
        <v xml:space="preserve"> </v>
      </c>
    </row>
    <row r="23" spans="2:14" ht="15" customHeight="1" x14ac:dyDescent="0.35">
      <c r="B23" s="36" t="s">
        <v>28</v>
      </c>
      <c r="C23" s="37">
        <f>(1.5*C6^2)/4046.86</f>
        <v>22.248731114987915</v>
      </c>
      <c r="D23" s="23"/>
      <c r="E23" s="24"/>
      <c r="F23" s="39">
        <f t="shared" si="9"/>
        <v>18</v>
      </c>
      <c r="G23" s="31">
        <f t="shared" si="10"/>
        <v>1381655611.2160692</v>
      </c>
      <c r="H23" s="31">
        <f t="shared" si="6"/>
        <v>153019939.43949732</v>
      </c>
      <c r="I23" s="31">
        <f>IF(F23=" "," ",IF($C$6&lt;30,'Maintainance data'!C21,IF($C$6&lt;100,'Maintainance data'!D21,IF($C$6&lt;=250,'Maintainance data'!E21," ")))*H23)</f>
        <v>7008313.2263289774</v>
      </c>
      <c r="J23" s="31">
        <f t="shared" si="7"/>
        <v>15568978.717329588</v>
      </c>
      <c r="K23" s="31">
        <f t="shared" si="11"/>
        <v>130442647.49583876</v>
      </c>
      <c r="L23" s="31">
        <f t="shared" si="8"/>
        <v>786669136.2939297</v>
      </c>
      <c r="M23" s="31">
        <f t="shared" si="12"/>
        <v>1539731370.9362292</v>
      </c>
      <c r="N23" s="53" t="str">
        <f t="shared" si="13"/>
        <v xml:space="preserve"> </v>
      </c>
    </row>
    <row r="24" spans="2:14" ht="15" customHeight="1" x14ac:dyDescent="0.35">
      <c r="B24" s="28" t="s">
        <v>29</v>
      </c>
      <c r="C24" s="29">
        <f>-(0.323)+0.147*C7-0.01*(C7)^2+0.0002*(C7)^3</f>
        <v>1.1470000000000002</v>
      </c>
      <c r="D24" s="23"/>
      <c r="E24" s="24"/>
      <c r="F24" s="39">
        <f t="shared" si="9"/>
        <v>19</v>
      </c>
      <c r="G24" s="31">
        <f t="shared" si="10"/>
        <v>1539731370.9362292</v>
      </c>
      <c r="H24" s="31">
        <f t="shared" si="6"/>
        <v>158375637.31987971</v>
      </c>
      <c r="I24" s="31">
        <f>IF(F24=" "," ",IF($C$6&lt;30,'Maintainance data'!C22,IF($C$6&lt;100,'Maintainance data'!D22,IF($C$6&lt;=250,'Maintainance data'!E22," ")))*H24)</f>
        <v>7633705.7188182017</v>
      </c>
      <c r="J24" s="31">
        <f t="shared" si="7"/>
        <v>16104548.505367827</v>
      </c>
      <c r="K24" s="31">
        <f t="shared" si="11"/>
        <v>134637383.09569368</v>
      </c>
      <c r="L24" s="31">
        <f t="shared" si="8"/>
        <v>854108372.56490183</v>
      </c>
      <c r="M24" s="31">
        <f t="shared" si="12"/>
        <v>1705163381.4506474</v>
      </c>
      <c r="N24" s="53" t="str">
        <f t="shared" si="13"/>
        <v xml:space="preserve"> </v>
      </c>
    </row>
    <row r="25" spans="2:14" ht="15" customHeight="1" x14ac:dyDescent="0.35">
      <c r="B25" s="44" t="s">
        <v>30</v>
      </c>
      <c r="C25" s="45">
        <f>((C6/2)^2*PI()*C24)</f>
        <v>54073.622897347821</v>
      </c>
      <c r="D25" s="23"/>
      <c r="E25" s="24"/>
      <c r="F25" s="39">
        <f t="shared" si="9"/>
        <v>20</v>
      </c>
      <c r="G25" s="31">
        <f t="shared" si="10"/>
        <v>1705163381.4506474</v>
      </c>
      <c r="H25" s="31">
        <f t="shared" si="6"/>
        <v>163918784.62607548</v>
      </c>
      <c r="I25" s="31">
        <f>IF(F25=" "," ",IF($C$6&lt;30,'Maintainance data'!C23,IF($C$6&lt;100,'Maintainance data'!D23,IF($C$6&lt;=250,'Maintainance data'!E23," ")))*H25)</f>
        <v>8392641.7728550639</v>
      </c>
      <c r="J25" s="31">
        <f t="shared" si="7"/>
        <v>16658863.235987402</v>
      </c>
      <c r="K25" s="31">
        <f t="shared" si="11"/>
        <v>138867279.61723301</v>
      </c>
      <c r="L25" s="31">
        <f t="shared" si="8"/>
        <v>922302462.44706666</v>
      </c>
      <c r="M25" s="31">
        <f t="shared" si="12"/>
        <v>1878133928.6968935</v>
      </c>
      <c r="N25" s="53" t="str">
        <f t="shared" si="13"/>
        <v xml:space="preserve"> </v>
      </c>
    </row>
    <row r="26" spans="2:14" ht="15" customHeight="1" x14ac:dyDescent="0.35">
      <c r="B26" s="56" t="s">
        <v>31</v>
      </c>
      <c r="C26" s="57"/>
      <c r="D26" s="23"/>
      <c r="E26" s="24"/>
      <c r="F26" s="39">
        <f t="shared" si="9"/>
        <v>21</v>
      </c>
      <c r="G26" s="31">
        <f t="shared" si="10"/>
        <v>1878133928.6968935</v>
      </c>
      <c r="H26" s="31">
        <f t="shared" si="6"/>
        <v>169655942.08798811</v>
      </c>
      <c r="I26" s="31">
        <f>IF(F26=" "," ",IF($C$6&lt;30,'Maintainance data'!C24,IF($C$6&lt;100,'Maintainance data'!D24,IF($C$6&lt;=250,'Maintainance data'!E24," ")))*H26)</f>
        <v>9314111.220630547</v>
      </c>
      <c r="J26" s="31">
        <f t="shared" si="7"/>
        <v>17232578.982178666</v>
      </c>
      <c r="K26" s="31">
        <f t="shared" si="11"/>
        <v>143109251.88517889</v>
      </c>
      <c r="L26" s="31">
        <f t="shared" si="8"/>
        <v>991201689.4497683</v>
      </c>
      <c r="M26" s="31">
        <f t="shared" si="12"/>
        <v>2058805859.1560102</v>
      </c>
      <c r="N26" s="53" t="str">
        <f t="shared" si="13"/>
        <v xml:space="preserve"> </v>
      </c>
    </row>
    <row r="27" spans="2:14" ht="15" customHeight="1" x14ac:dyDescent="0.35">
      <c r="B27" s="47" t="s">
        <v>32</v>
      </c>
      <c r="C27" s="48" cm="1">
        <f t="array" ref="C27">INDEX(F5:F45,MATCH(TRUE, (L5:L45 &gt; 0),0))</f>
        <v>6</v>
      </c>
      <c r="D27" s="23"/>
      <c r="E27" s="24"/>
      <c r="F27" s="39">
        <f t="shared" si="9"/>
        <v>22</v>
      </c>
      <c r="G27" s="31">
        <f t="shared" si="10"/>
        <v>2058805859.1560102</v>
      </c>
      <c r="H27" s="31">
        <f t="shared" si="6"/>
        <v>175593900.06106767</v>
      </c>
      <c r="I27" s="31">
        <f>IF(F27=" "," ",IF($C$6&lt;30,'Maintainance data'!C25,IF($C$6&lt;100,'Maintainance data'!D25,IF($C$6&lt;=250,'Maintainance data'!E25," ")))*H27)</f>
        <v>10412718.273621313</v>
      </c>
      <c r="J27" s="31">
        <f t="shared" si="7"/>
        <v>17826374.779486623</v>
      </c>
      <c r="K27" s="31">
        <f t="shared" si="11"/>
        <v>147354807.00795972</v>
      </c>
      <c r="L27" s="31">
        <f t="shared" si="8"/>
        <v>1060753873.8496819</v>
      </c>
      <c r="M27" s="31">
        <f t="shared" si="12"/>
        <v>2247336783.3470902</v>
      </c>
      <c r="N27" s="53" t="str">
        <f t="shared" si="13"/>
        <v xml:space="preserve"> </v>
      </c>
    </row>
    <row r="28" spans="2:14" ht="15" customHeight="1" x14ac:dyDescent="0.35">
      <c r="B28" s="40" t="s">
        <v>33</v>
      </c>
      <c r="C28" s="43" t="str">
        <f>CONCATENATE(ROUND(-((VLOOKUP(C5+2,F5:N47,7,0)-G5)/G5)*(1/(C5+2))*100,4)," %")</f>
        <v>22.3866 %</v>
      </c>
      <c r="D28" s="23"/>
      <c r="E28" s="24"/>
      <c r="F28" s="39">
        <f t="shared" si="9"/>
        <v>23</v>
      </c>
      <c r="G28" s="31">
        <f t="shared" si="10"/>
        <v>2247336783.3470902</v>
      </c>
      <c r="H28" s="31">
        <f t="shared" si="6"/>
        <v>181739686.56320506</v>
      </c>
      <c r="I28" s="31">
        <f>IF(F28=" "," ",IF($C$6&lt;30,'Maintainance data'!C26,IF($C$6&lt;100,'Maintainance data'!D26,IF($C$6&lt;=250,'Maintainance data'!E26," ")))*H28)</f>
        <v>11776731.689295687</v>
      </c>
      <c r="J28" s="31">
        <f t="shared" si="7"/>
        <v>18440953.429700363</v>
      </c>
      <c r="K28" s="31">
        <f t="shared" si="11"/>
        <v>151522001.44420901</v>
      </c>
      <c r="L28" s="31">
        <f t="shared" si="8"/>
        <v>1130870658.5633521</v>
      </c>
      <c r="M28" s="31">
        <f t="shared" si="12"/>
        <v>2443805520.458241</v>
      </c>
      <c r="N28" s="53" t="str">
        <f t="shared" si="13"/>
        <v xml:space="preserve"> </v>
      </c>
    </row>
    <row r="29" spans="2:14" ht="15" customHeight="1" x14ac:dyDescent="0.35">
      <c r="D29" s="23"/>
      <c r="E29" s="24"/>
      <c r="F29" s="39">
        <f t="shared" si="9"/>
        <v>24</v>
      </c>
      <c r="G29" s="31">
        <f t="shared" si="10"/>
        <v>2443805520.458241</v>
      </c>
      <c r="H29" s="31">
        <f t="shared" si="6"/>
        <v>188100575.5929172</v>
      </c>
      <c r="I29" s="31">
        <f>IF(F29=" "," ",IF($C$6&lt;30,'Maintainance data'!C27,IF($C$6&lt;100,'Maintainance data'!D27,IF($C$6&lt;=250,'Maintainance data'!E27," ")))*H29)</f>
        <v>13468001.212452872</v>
      </c>
      <c r="J29" s="31">
        <f t="shared" si="7"/>
        <v>19077042.332671575</v>
      </c>
      <c r="K29" s="31">
        <f t="shared" si="11"/>
        <v>155555532.04779276</v>
      </c>
      <c r="L29" s="31">
        <f t="shared" si="8"/>
        <v>1201442521.7293861</v>
      </c>
      <c r="M29" s="31">
        <f t="shared" si="12"/>
        <v>2648237162.9151988</v>
      </c>
      <c r="N29" s="53" t="str">
        <f t="shared" si="13"/>
        <v xml:space="preserve"> </v>
      </c>
    </row>
    <row r="30" spans="2:14" ht="15" customHeight="1" x14ac:dyDescent="0.35">
      <c r="D30" s="23"/>
      <c r="E30" s="24"/>
      <c r="F30" s="39">
        <f t="shared" si="9"/>
        <v>25</v>
      </c>
      <c r="G30" s="31">
        <f t="shared" si="10"/>
        <v>2648237162.9151988</v>
      </c>
      <c r="H30" s="31">
        <f t="shared" si="6"/>
        <v>194684095.73866928</v>
      </c>
      <c r="I30" s="31">
        <f>IF(F30=" "," ",IF($C$6&lt;30,'Maintainance data'!C28,IF($C$6&lt;100,'Maintainance data'!D28,IF($C$6&lt;=250,'Maintainance data'!E28," ")))*H30)</f>
        <v>15535790.839945808</v>
      </c>
      <c r="J30" s="31">
        <f t="shared" si="7"/>
        <v>19735394.347246785</v>
      </c>
      <c r="K30" s="31">
        <f t="shared" si="11"/>
        <v>159412910.55147669</v>
      </c>
      <c r="L30" s="31">
        <f t="shared" si="8"/>
        <v>1272346310.4507928</v>
      </c>
      <c r="M30" s="31">
        <f t="shared" si="12"/>
        <v>2860614816.7249794</v>
      </c>
      <c r="N30" s="53" t="str">
        <f t="shared" si="13"/>
        <v xml:space="preserve"> </v>
      </c>
    </row>
    <row r="31" spans="2:14" ht="15" customHeight="1" x14ac:dyDescent="0.35">
      <c r="D31" s="23"/>
      <c r="E31" s="24"/>
      <c r="F31" s="39">
        <f t="shared" si="9"/>
        <v>26</v>
      </c>
      <c r="G31" s="31">
        <f t="shared" si="10"/>
        <v>2860614816.7249794</v>
      </c>
      <c r="H31" s="31">
        <f t="shared" si="6"/>
        <v>201498039.08952266</v>
      </c>
      <c r="I31" s="31">
        <f>IF(F31=" "," ",IF($C$6&lt;30,'Maintainance data'!C29,IF($C$6&lt;100,'Maintainance data'!D29,IF($C$6&lt;=250,'Maintainance data'!E29," ")))*H31)</f>
        <v>18114673.714148089</v>
      </c>
      <c r="J31" s="31">
        <f t="shared" si="7"/>
        <v>20416788.682332121</v>
      </c>
      <c r="K31" s="31">
        <f t="shared" si="11"/>
        <v>162966576.69304246</v>
      </c>
      <c r="L31" s="31">
        <f t="shared" si="8"/>
        <v>1343409438.7815089</v>
      </c>
      <c r="M31" s="31">
        <f t="shared" si="12"/>
        <v>3080793689.7525215</v>
      </c>
      <c r="N31" s="53" t="str">
        <f t="shared" si="13"/>
        <v xml:space="preserve"> </v>
      </c>
    </row>
    <row r="32" spans="2:14" ht="15" customHeight="1" x14ac:dyDescent="0.35">
      <c r="D32" s="23"/>
      <c r="E32" s="24"/>
      <c r="F32" s="39">
        <f t="shared" si="9"/>
        <v>27</v>
      </c>
      <c r="G32" s="31">
        <f t="shared" si="10"/>
        <v>3080793689.7525215</v>
      </c>
      <c r="H32" s="31">
        <f t="shared" si="6"/>
        <v>208550470.45765597</v>
      </c>
      <c r="I32" s="31">
        <f>IF(F32=" "," ",IF($C$6&lt;30,'Maintainance data'!C30,IF($C$6&lt;100,'Maintainance data'!D30,IF($C$6&lt;=250,'Maintainance data'!E30," ")))*H32)</f>
        <v>21293003.033726674</v>
      </c>
      <c r="J32" s="31">
        <f t="shared" si="7"/>
        <v>21122031.819145452</v>
      </c>
      <c r="K32" s="31">
        <f t="shared" si="11"/>
        <v>166135435.60478383</v>
      </c>
      <c r="L32" s="31">
        <f t="shared" si="8"/>
        <v>1414433889.2212474</v>
      </c>
      <c r="M32" s="31">
        <f t="shared" si="12"/>
        <v>3308544999.1523561</v>
      </c>
      <c r="N32" s="53" t="str">
        <f t="shared" si="13"/>
        <v xml:space="preserve"> </v>
      </c>
    </row>
    <row r="33" spans="4:14" ht="15" customHeight="1" x14ac:dyDescent="0.35">
      <c r="D33" s="23"/>
      <c r="E33" s="24"/>
      <c r="F33" s="39">
        <f t="shared" si="9"/>
        <v>28</v>
      </c>
      <c r="G33" s="31">
        <f t="shared" si="10"/>
        <v>3308544999.1523561</v>
      </c>
      <c r="H33" s="31">
        <f t="shared" si="6"/>
        <v>215849736.92367393</v>
      </c>
      <c r="I33" s="31">
        <f>IF(F33=" "," ",IF($C$6&lt;30,'Maintainance data'!C31,IF($C$6&lt;100,'Maintainance data'!D31,IF($C$6&lt;=250,'Maintainance data'!E31," ")))*H33)</f>
        <v>25232834.246377483</v>
      </c>
      <c r="J33" s="31">
        <f t="shared" si="7"/>
        <v>21851958.465747248</v>
      </c>
      <c r="K33" s="31">
        <f t="shared" si="11"/>
        <v>168764944.21154919</v>
      </c>
      <c r="L33" s="31">
        <f t="shared" si="8"/>
        <v>1485167800.9163043</v>
      </c>
      <c r="M33" s="31">
        <f t="shared" si="12"/>
        <v>3543480843.3469524</v>
      </c>
      <c r="N33" s="53" t="str">
        <f t="shared" si="13"/>
        <v xml:space="preserve"> </v>
      </c>
    </row>
    <row r="34" spans="4:14" ht="15" customHeight="1" x14ac:dyDescent="0.35">
      <c r="D34" s="23"/>
      <c r="E34" s="24"/>
      <c r="F34" s="39">
        <f t="shared" si="9"/>
        <v>29</v>
      </c>
      <c r="G34" s="31">
        <f t="shared" si="10"/>
        <v>3543480843.3469524</v>
      </c>
      <c r="H34" s="31">
        <f t="shared" si="6"/>
        <v>223404477.71600252</v>
      </c>
      <c r="I34" s="31">
        <f>IF(F34=" "," ",IF($C$6&lt;30,'Maintainance data'!C32,IF($C$6&lt;100,'Maintainance data'!D32,IF($C$6&lt;=250,'Maintainance data'!E32," ")))*H34)</f>
        <v>30025561.805030737</v>
      </c>
      <c r="J34" s="31">
        <f t="shared" si="7"/>
        <v>22607432.544980109</v>
      </c>
      <c r="K34" s="31">
        <f t="shared" si="11"/>
        <v>170771483.36599168</v>
      </c>
      <c r="L34" s="31">
        <f t="shared" si="8"/>
        <v>1555339277.4241126</v>
      </c>
      <c r="M34" s="31">
        <f t="shared" si="12"/>
        <v>3785121943.5798831</v>
      </c>
      <c r="N34" s="53" t="str">
        <f t="shared" si="13"/>
        <v xml:space="preserve"> </v>
      </c>
    </row>
    <row r="35" spans="4:14" ht="15" customHeight="1" x14ac:dyDescent="0.35">
      <c r="D35" s="23"/>
      <c r="E35" s="24"/>
      <c r="F35" s="39">
        <f t="shared" si="9"/>
        <v>30</v>
      </c>
      <c r="G35" s="31">
        <f t="shared" si="10"/>
        <v>3785121943.5798831</v>
      </c>
      <c r="H35" s="31">
        <f t="shared" si="6"/>
        <v>231223634.43606257</v>
      </c>
      <c r="I35" s="31">
        <f>IF(F35=" "," ",IF($C$6&lt;30,'Maintainance data'!C33,IF($C$6&lt;100,'Maintainance data'!D33,IF($C$6&lt;=250,'Maintainance data'!E33," ")))*H35)</f>
        <v>35862785.701033302</v>
      </c>
      <c r="J35" s="31">
        <f t="shared" si="7"/>
        <v>23389348.216986112</v>
      </c>
      <c r="K35" s="31">
        <f t="shared" si="11"/>
        <v>171971500.51804316</v>
      </c>
      <c r="L35" s="31">
        <f t="shared" si="8"/>
        <v>1624618271.4568424</v>
      </c>
      <c r="M35" s="31">
        <f t="shared" si="12"/>
        <v>4032795882.9695239</v>
      </c>
      <c r="N35" s="53" t="str">
        <f t="shared" si="13"/>
        <v xml:space="preserve"> </v>
      </c>
    </row>
    <row r="36" spans="4:14" ht="15" customHeight="1" x14ac:dyDescent="0.35">
      <c r="D36" s="23"/>
      <c r="E36" s="24"/>
      <c r="F36" s="39">
        <f t="shared" si="9"/>
        <v>31</v>
      </c>
      <c r="G36" s="31">
        <f t="shared" si="10"/>
        <v>4032795882.9695239</v>
      </c>
      <c r="H36" s="31">
        <f t="shared" si="6"/>
        <v>239316461.64132476</v>
      </c>
      <c r="I36" s="31">
        <f>IF(F36=" "," ",IF($C$6&lt;30,'Maintainance data'!C34,IF($C$6&lt;100,'Maintainance data'!D34,IF($C$6&lt;=250,'Maintainance data'!E34," ")))*H36)</f>
        <v>42885509.9261254</v>
      </c>
      <c r="J36" s="31">
        <f t="shared" si="7"/>
        <v>24198630.937512331</v>
      </c>
      <c r="K36" s="31">
        <f t="shared" si="11"/>
        <v>172232320.77768701</v>
      </c>
      <c r="L36" s="31">
        <f t="shared" si="8"/>
        <v>1692641865.4680974</v>
      </c>
      <c r="M36" s="31">
        <f t="shared" si="12"/>
        <v>4285684121.4066014</v>
      </c>
      <c r="N36" s="53" t="str">
        <f t="shared" si="13"/>
        <v xml:space="preserve"> </v>
      </c>
    </row>
    <row r="37" spans="4:14" ht="15" customHeight="1" x14ac:dyDescent="0.35">
      <c r="D37" s="23"/>
      <c r="E37" s="24"/>
      <c r="F37" s="39">
        <f t="shared" si="9"/>
        <v>32</v>
      </c>
      <c r="G37" s="31">
        <f t="shared" si="10"/>
        <v>4285684121.4066014</v>
      </c>
      <c r="H37" s="31">
        <f t="shared" si="6"/>
        <v>247692537.79877114</v>
      </c>
      <c r="I37" s="31">
        <f>IF(F37=" "," ",IF($C$6&lt;30,'Maintainance data'!C35,IF($C$6&lt;100,'Maintainance data'!D35,IF($C$6&lt;=250,'Maintainance data'!E35," ")))*H37)</f>
        <v>51148509.055446237</v>
      </c>
      <c r="J37" s="31">
        <f t="shared" si="7"/>
        <v>25036238.55325697</v>
      </c>
      <c r="K37" s="31">
        <f t="shared" si="11"/>
        <v>171507790.19006795</v>
      </c>
      <c r="L37" s="31">
        <f t="shared" si="8"/>
        <v>1759051119.2026732</v>
      </c>
      <c r="M37" s="31">
        <f t="shared" si="12"/>
        <v>4542905594.0248022</v>
      </c>
      <c r="N37" s="53" t="str">
        <f t="shared" si="13"/>
        <v xml:space="preserve"> </v>
      </c>
    </row>
    <row r="38" spans="4:14" ht="15" customHeight="1" x14ac:dyDescent="0.35">
      <c r="D38" s="23"/>
      <c r="E38" s="24"/>
      <c r="F38" s="39">
        <f t="shared" si="9"/>
        <v>33</v>
      </c>
      <c r="G38" s="31">
        <f t="shared" si="10"/>
        <v>4542905594.0248022</v>
      </c>
      <c r="H38" s="31">
        <f t="shared" si="6"/>
        <v>256361776.621728</v>
      </c>
      <c r="I38" s="31">
        <f>IF(F38=" "," ",IF($C$6&lt;30,'Maintainance data'!C36,IF($C$6&lt;100,'Maintainance data'!D36,IF($C$6&lt;=250,'Maintainance data'!E36," ")))*H38)</f>
        <v>60655196.348700836</v>
      </c>
      <c r="J38" s="31">
        <f t="shared" si="7"/>
        <v>25903162.435552657</v>
      </c>
      <c r="K38" s="31">
        <f t="shared" si="11"/>
        <v>169803417.83747452</v>
      </c>
      <c r="L38" s="31">
        <f t="shared" si="8"/>
        <v>1823511223.5905588</v>
      </c>
      <c r="M38" s="31">
        <f t="shared" si="12"/>
        <v>4803567123.7427731</v>
      </c>
      <c r="N38" s="53" t="str">
        <f t="shared" si="13"/>
        <v xml:space="preserve"> </v>
      </c>
    </row>
    <row r="39" spans="4:14" ht="15" customHeight="1" x14ac:dyDescent="0.35">
      <c r="D39" s="23"/>
      <c r="E39" s="24"/>
      <c r="F39" s="39">
        <f t="shared" si="9"/>
        <v>34</v>
      </c>
      <c r="G39" s="31">
        <f t="shared" si="10"/>
        <v>4803567123.7427731</v>
      </c>
      <c r="H39" s="31">
        <f t="shared" si="6"/>
        <v>265334438.80348849</v>
      </c>
      <c r="I39" s="31">
        <f>IF(F39=" "," ",IF($C$6&lt;30,'Maintainance data'!C37,IF($C$6&lt;100,'Maintainance data'!D37,IF($C$6&lt;=250,'Maintainance data'!E37," ")))*H39)</f>
        <v>71321897.150377706</v>
      </c>
      <c r="J39" s="31">
        <f t="shared" si="7"/>
        <v>26800428.653728705</v>
      </c>
      <c r="K39" s="31">
        <f t="shared" si="11"/>
        <v>167212112.99938208</v>
      </c>
      <c r="L39" s="31">
        <f t="shared" si="8"/>
        <v>1885742991.6846743</v>
      </c>
      <c r="M39" s="31">
        <f t="shared" si="12"/>
        <v>5066850579.2170105</v>
      </c>
      <c r="N39" s="53" t="str">
        <f t="shared" si="13"/>
        <v xml:space="preserve"> </v>
      </c>
    </row>
    <row r="40" spans="4:14" ht="15" customHeight="1" x14ac:dyDescent="0.35">
      <c r="D40" s="23"/>
      <c r="E40" s="24"/>
      <c r="F40" s="39">
        <f t="shared" si="9"/>
        <v>35</v>
      </c>
      <c r="G40" s="31">
        <f t="shared" si="10"/>
        <v>5066850579.2170105</v>
      </c>
      <c r="H40" s="31">
        <f t="shared" si="6"/>
        <v>274621144.16161054</v>
      </c>
      <c r="I40" s="31">
        <f>IF(F40=" "," ",IF($C$6&lt;30,'Maintainance data'!C38,IF($C$6&lt;100,'Maintainance data'!D38,IF($C$6&lt;=250,'Maintainance data'!E38," ")))*H40)</f>
        <v>82770812.850309417</v>
      </c>
      <c r="J40" s="31">
        <f t="shared" si="7"/>
        <v>27729099.189540911</v>
      </c>
      <c r="K40" s="31">
        <f t="shared" si="11"/>
        <v>164121232.12176022</v>
      </c>
      <c r="L40" s="31">
        <f t="shared" si="8"/>
        <v>1945626743.5459869</v>
      </c>
      <c r="M40" s="31">
        <f t="shared" si="12"/>
        <v>5332308822.923111</v>
      </c>
      <c r="N40" s="53" t="str">
        <f t="shared" si="13"/>
        <v xml:space="preserve"> </v>
      </c>
    </row>
    <row r="41" spans="4:14" ht="15" customHeight="1" x14ac:dyDescent="0.35">
      <c r="D41" s="23"/>
      <c r="E41" s="24"/>
      <c r="F41" s="39">
        <f t="shared" si="9"/>
        <v>36</v>
      </c>
      <c r="G41" s="31">
        <f t="shared" si="10"/>
        <v>5332308822.923111</v>
      </c>
      <c r="H41" s="31">
        <f t="shared" si="6"/>
        <v>284232884.20726693</v>
      </c>
      <c r="I41" s="31">
        <f>IF(F41=" "," ",IF($C$6&lt;30,'Maintainance data'!C39,IF($C$6&lt;100,'Maintainance data'!D39,IF($C$6&lt;=250,'Maintainance data'!E39," ")))*H41)</f>
        <v>94422164.133654073</v>
      </c>
      <c r="J41" s="31">
        <f t="shared" si="7"/>
        <v>28690273.194106549</v>
      </c>
      <c r="K41" s="31">
        <f t="shared" si="11"/>
        <v>161120446.87950629</v>
      </c>
      <c r="L41" s="31">
        <f t="shared" si="8"/>
        <v>2003262861.2223589</v>
      </c>
      <c r="M41" s="31">
        <f t="shared" si="12"/>
        <v>5600075446.2610798</v>
      </c>
      <c r="N41" s="53" t="str">
        <f t="shared" si="13"/>
        <v xml:space="preserve"> </v>
      </c>
    </row>
    <row r="42" spans="4:14" ht="15" customHeight="1" x14ac:dyDescent="0.35">
      <c r="D42" s="23"/>
      <c r="E42" s="24"/>
      <c r="F42" s="39">
        <f t="shared" si="9"/>
        <v>37</v>
      </c>
      <c r="G42" s="31">
        <f t="shared" si="10"/>
        <v>5600075446.2610798</v>
      </c>
      <c r="H42" s="31">
        <f t="shared" si="6"/>
        <v>0</v>
      </c>
      <c r="I42" s="31">
        <f>IF(F42=" "," ",IF($C$6&lt;30,'Maintainance data'!C40,IF($C$6&lt;100,'Maintainance data'!D40,IF($C$6&lt;=250,'Maintainance data'!E40," ")))*H42)</f>
        <v>0</v>
      </c>
      <c r="J42" s="31">
        <f t="shared" si="7"/>
        <v>266984.77337985497</v>
      </c>
      <c r="K42" s="31">
        <f t="shared" si="11"/>
        <v>-134556764.4583154</v>
      </c>
      <c r="L42" s="31">
        <f t="shared" si="8"/>
        <v>1956072921.1917291</v>
      </c>
      <c r="M42" s="31">
        <f t="shared" si="12"/>
        <v>5577520190.7279854</v>
      </c>
      <c r="N42" s="53">
        <f t="shared" si="13"/>
        <v>134289779.68493554</v>
      </c>
    </row>
    <row r="43" spans="4:14" ht="15" customHeight="1" x14ac:dyDescent="0.35">
      <c r="D43" s="23"/>
      <c r="E43" s="24"/>
      <c r="F43" s="39" t="str">
        <f t="shared" si="9"/>
        <v xml:space="preserve"> </v>
      </c>
      <c r="G43" s="31" t="str">
        <f t="shared" si="10"/>
        <v xml:space="preserve"> </v>
      </c>
      <c r="H43" s="31" t="str">
        <f t="shared" si="6"/>
        <v xml:space="preserve"> </v>
      </c>
      <c r="I43" s="31" t="str">
        <f>IF(F43=" "," ",IF($C$6&lt;30,'Maintainance data'!C41,IF($C$6&lt;100,'Maintainance data'!D41,IF($C$6&lt;=250,'Maintainance data'!E41," ")))*H43)</f>
        <v xml:space="preserve"> </v>
      </c>
      <c r="J43" s="31" t="str">
        <f t="shared" si="7"/>
        <v xml:space="preserve"> </v>
      </c>
      <c r="K43" s="31" t="str">
        <f t="shared" si="11"/>
        <v xml:space="preserve"> </v>
      </c>
      <c r="L43" s="31" t="str">
        <f t="shared" si="8"/>
        <v xml:space="preserve"> </v>
      </c>
      <c r="M43" s="31" t="str">
        <f t="shared" si="12"/>
        <v xml:space="preserve"> </v>
      </c>
      <c r="N43" s="53" t="str">
        <f t="shared" si="13"/>
        <v xml:space="preserve"> </v>
      </c>
    </row>
    <row r="44" spans="4:14" ht="15" customHeight="1" x14ac:dyDescent="0.35">
      <c r="D44" s="23"/>
      <c r="E44" s="24"/>
      <c r="F44" s="39" t="str">
        <f t="shared" si="9"/>
        <v xml:space="preserve"> </v>
      </c>
      <c r="G44" s="31" t="str">
        <f t="shared" si="10"/>
        <v xml:space="preserve"> </v>
      </c>
      <c r="H44" s="31" t="str">
        <f t="shared" si="6"/>
        <v xml:space="preserve"> </v>
      </c>
      <c r="I44" s="31" t="str">
        <f>IF(F44=" "," ",IF($C$6&lt;30,'Maintainance data'!C42,IF($C$6&lt;100,'Maintainance data'!D42,IF($C$6&lt;=250,'Maintainance data'!E42," ")))*H44)</f>
        <v xml:space="preserve"> </v>
      </c>
      <c r="J44" s="31" t="str">
        <f t="shared" si="7"/>
        <v xml:space="preserve"> </v>
      </c>
      <c r="K44" s="31" t="str">
        <f t="shared" si="11"/>
        <v xml:space="preserve"> </v>
      </c>
      <c r="L44" s="31" t="str">
        <f t="shared" si="8"/>
        <v xml:space="preserve"> </v>
      </c>
      <c r="M44" s="31" t="str">
        <f t="shared" si="12"/>
        <v xml:space="preserve"> </v>
      </c>
      <c r="N44" s="53" t="str">
        <f t="shared" si="13"/>
        <v xml:space="preserve"> </v>
      </c>
    </row>
    <row r="45" spans="4:14" ht="15" customHeight="1" x14ac:dyDescent="0.35">
      <c r="D45" s="23"/>
      <c r="E45" s="24"/>
      <c r="F45" s="39" t="str">
        <f t="shared" si="9"/>
        <v xml:space="preserve"> </v>
      </c>
      <c r="G45" s="31" t="str">
        <f t="shared" si="10"/>
        <v xml:space="preserve"> </v>
      </c>
      <c r="H45" s="31" t="str">
        <f t="shared" si="6"/>
        <v xml:space="preserve"> </v>
      </c>
      <c r="I45" s="31" t="str">
        <f>IF(F45=" "," ",IF($C$6&lt;30,'Maintainance data'!C43,IF($C$6&lt;100,'Maintainance data'!D43,IF($C$6&lt;=250,'Maintainance data'!E43," ")))*H45)</f>
        <v xml:space="preserve"> </v>
      </c>
      <c r="J45" s="31" t="str">
        <f t="shared" si="7"/>
        <v xml:space="preserve"> </v>
      </c>
      <c r="K45" s="31" t="str">
        <f t="shared" si="11"/>
        <v xml:space="preserve"> </v>
      </c>
      <c r="L45" s="31" t="str">
        <f t="shared" si="8"/>
        <v xml:space="preserve"> </v>
      </c>
      <c r="M45" s="31" t="str">
        <f t="shared" si="12"/>
        <v xml:space="preserve"> </v>
      </c>
      <c r="N45" s="53" t="str">
        <f t="shared" si="13"/>
        <v xml:space="preserve"> </v>
      </c>
    </row>
    <row r="46" spans="4:14" ht="15" customHeight="1" x14ac:dyDescent="0.35">
      <c r="D46" s="23"/>
      <c r="E46" s="24"/>
      <c r="F46" s="39" t="str">
        <f t="shared" si="9"/>
        <v xml:space="preserve"> </v>
      </c>
      <c r="G46" s="31" t="str">
        <f t="shared" si="10"/>
        <v xml:space="preserve"> </v>
      </c>
      <c r="H46" s="31" t="str">
        <f t="shared" si="6"/>
        <v xml:space="preserve"> </v>
      </c>
      <c r="I46" s="31" t="str">
        <f>IF(F46=" "," ",IF($C$6&lt;30,'Maintainance data'!C44,IF($C$6&lt;100,'Maintainance data'!D44,IF($C$6&lt;=250,'Maintainance data'!E44," ")))*H46)</f>
        <v xml:space="preserve"> </v>
      </c>
      <c r="J46" s="31" t="str">
        <f t="shared" si="7"/>
        <v xml:space="preserve"> </v>
      </c>
      <c r="K46" s="31" t="str">
        <f t="shared" si="11"/>
        <v xml:space="preserve"> </v>
      </c>
      <c r="L46" s="31" t="str">
        <f t="shared" si="8"/>
        <v xml:space="preserve"> </v>
      </c>
      <c r="M46" s="31" t="str">
        <f t="shared" si="12"/>
        <v xml:space="preserve"> </v>
      </c>
      <c r="N46" s="53" t="str">
        <f t="shared" si="13"/>
        <v xml:space="preserve"> </v>
      </c>
    </row>
    <row r="47" spans="4:14" x14ac:dyDescent="0.35">
      <c r="F47" s="49" t="str">
        <f t="shared" si="9"/>
        <v xml:space="preserve"> </v>
      </c>
      <c r="G47" s="50" t="str">
        <f t="shared" si="10"/>
        <v xml:space="preserve"> </v>
      </c>
      <c r="H47" s="50" t="str">
        <f t="shared" si="6"/>
        <v xml:space="preserve"> </v>
      </c>
      <c r="I47" s="55" t="str">
        <f>IF(F47=" "," ",IF($C$6&lt;30,'Maintainance data'!C45,IF($C$6&lt;100,'Maintainance data'!D45,IF($C$6&lt;=250,'Maintainance data'!E45," ")))*H47)</f>
        <v xml:space="preserve"> </v>
      </c>
      <c r="J47" s="50" t="str">
        <f t="shared" si="7"/>
        <v xml:space="preserve"> </v>
      </c>
      <c r="K47" s="50" t="str">
        <f t="shared" si="11"/>
        <v xml:space="preserve"> </v>
      </c>
      <c r="L47" s="50" t="str">
        <f t="shared" si="8"/>
        <v xml:space="preserve"> </v>
      </c>
      <c r="M47" s="50" t="str">
        <f t="shared" si="12"/>
        <v xml:space="preserve"> </v>
      </c>
      <c r="N47" s="54" t="str">
        <f t="shared" si="13"/>
        <v xml:space="preserve"> </v>
      </c>
    </row>
    <row r="48" spans="4:14" ht="15" customHeight="1" x14ac:dyDescent="0.35"/>
  </sheetData>
  <mergeCells count="5">
    <mergeCell ref="B26:C26"/>
    <mergeCell ref="B2:C3"/>
    <mergeCell ref="F2:N3"/>
    <mergeCell ref="B19:C20"/>
    <mergeCell ref="B22:C22"/>
  </mergeCells>
  <phoneticPr fontId="18" type="noConversion"/>
  <conditionalFormatting sqref="L5:L47">
    <cfRule type="cellIs" dxfId="1" priority="1" operator="lessThan">
      <formula>0</formula>
    </cfRule>
    <cfRule type="cellIs" dxfId="0" priority="2" operator="greaterThanOrEqual">
      <formula>0</formula>
    </cfRule>
  </conditionalFormatting>
  <dataValidations count="8">
    <dataValidation type="whole" allowBlank="1" showInputMessage="1" showErrorMessage="1" errorTitle="Input error" error="Please input a whole number between 10 and 40" sqref="C5" xr:uid="{F701B31F-85BB-4199-A70D-43A37C641FBE}">
      <formula1>10</formula1>
      <formula2>40</formula2>
    </dataValidation>
    <dataValidation type="whole" allowBlank="1" showInputMessage="1" showErrorMessage="1" errorTitle="Input error" error="Please input a whole number between 15 and 250, by a step value of 5m" sqref="C6" xr:uid="{D9F9D344-626F-4026-92CA-BFE2B7ADB0AB}">
      <formula1>15</formula1>
      <formula2>250</formula2>
    </dataValidation>
    <dataValidation type="decimal" allowBlank="1" showInputMessage="1" showErrorMessage="1" errorTitle="Input error" error="Please input a number between 20 and 40" sqref="C7" xr:uid="{6C64EE1F-A63B-47FC-BBED-405F620C7364}">
      <formula1>20</formula1>
      <formula2>40</formula2>
    </dataValidation>
    <dataValidation type="decimal" allowBlank="1" showInputMessage="1" showErrorMessage="1" errorTitle="Input error" error="Please input a number between 10000 and 25000" sqref="C8" xr:uid="{1BE89D39-DBBC-4810-B249-3D51C65433D3}">
      <formula1>10000</formula1>
      <formula2>25000</formula2>
    </dataValidation>
    <dataValidation type="decimal" allowBlank="1" showInputMessage="1" showErrorMessage="1" errorTitle="Input error" error="Please input a number between 1 and 3" sqref="C10" xr:uid="{9FA8ED15-641B-46F8-B688-53CE244DB2DB}">
      <formula1>1</formula1>
      <formula2>3</formula2>
    </dataValidation>
    <dataValidation type="decimal" allowBlank="1" showInputMessage="1" showErrorMessage="1" errorTitle="Input error" error="Please input a number between 0.15 and 0.20" sqref="C11" xr:uid="{A2BB469C-C066-4142-9ECC-0784B1332FB3}">
      <formula1>0.15</formula1>
      <formula2>0.2</formula2>
    </dataValidation>
    <dataValidation type="list" allowBlank="1" showInputMessage="1" showErrorMessage="1" errorTitle="Input error" error="Please input Offshore or Onshore" sqref="C16" xr:uid="{8F66E03A-9B99-495D-BFC6-1C3D3523F09B}">
      <formula1>"Offshore, Onshore"</formula1>
    </dataValidation>
    <dataValidation allowBlank="1" showInputMessage="1" showErrorMessage="1" sqref="B4:C4 B21:C21" xr:uid="{1140E7D6-6B64-4774-A4CB-281F820A88BC}"/>
  </dataValidation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672B-24F7-4258-8ACC-951F5FF9E0E0}">
  <dimension ref="B2:E44"/>
  <sheetViews>
    <sheetView workbookViewId="0">
      <selection activeCell="C5" sqref="C5"/>
    </sheetView>
  </sheetViews>
  <sheetFormatPr defaultRowHeight="14" x14ac:dyDescent="0.3"/>
  <cols>
    <col min="2" max="2" width="11.58203125" customWidth="1"/>
    <col min="3" max="3" width="11.83203125" customWidth="1"/>
    <col min="4" max="4" width="12.83203125" customWidth="1"/>
    <col min="5" max="5" width="16.75" customWidth="1"/>
  </cols>
  <sheetData>
    <row r="2" spans="2:5" x14ac:dyDescent="0.3">
      <c r="B2" s="1" t="s">
        <v>34</v>
      </c>
      <c r="C2" s="1"/>
      <c r="D2" s="1"/>
      <c r="E2" s="1"/>
    </row>
    <row r="3" spans="2:5" ht="14.5" thickBot="1" x14ac:dyDescent="0.35">
      <c r="B3" s="72" t="s">
        <v>35</v>
      </c>
      <c r="C3" s="72"/>
      <c r="D3" s="72"/>
      <c r="E3" s="72"/>
    </row>
    <row r="4" spans="2:5" ht="28.5" x14ac:dyDescent="0.35">
      <c r="B4" s="2" t="s">
        <v>36</v>
      </c>
      <c r="C4" s="3" t="s">
        <v>37</v>
      </c>
      <c r="D4" s="3" t="s">
        <v>38</v>
      </c>
      <c r="E4" s="4" t="s">
        <v>39</v>
      </c>
    </row>
    <row r="5" spans="2:5" x14ac:dyDescent="0.3">
      <c r="B5" s="5">
        <v>1</v>
      </c>
      <c r="C5" s="6">
        <v>3.9999999999999996E-4</v>
      </c>
      <c r="D5" s="6">
        <v>7.2000000000000007E-3</v>
      </c>
      <c r="E5" s="7">
        <v>1.0699999999999999E-2</v>
      </c>
    </row>
    <row r="6" spans="2:5" x14ac:dyDescent="0.3">
      <c r="B6" s="8">
        <v>2</v>
      </c>
      <c r="C6" s="9">
        <v>9.0000000000000008E-4</v>
      </c>
      <c r="D6" s="9">
        <v>9.1999999999999998E-3</v>
      </c>
      <c r="E6" s="10">
        <v>1.9799999999999998E-2</v>
      </c>
    </row>
    <row r="7" spans="2:5" x14ac:dyDescent="0.3">
      <c r="B7" s="8">
        <v>3</v>
      </c>
      <c r="C7" s="9">
        <v>1.2999999999999999E-3</v>
      </c>
      <c r="D7" s="9">
        <v>1.0799999999999999E-2</v>
      </c>
      <c r="E7" s="10">
        <v>2.4399999999999998E-2</v>
      </c>
    </row>
    <row r="8" spans="2:5" x14ac:dyDescent="0.3">
      <c r="B8" s="8">
        <v>4</v>
      </c>
      <c r="C8" s="9">
        <v>1.8E-3</v>
      </c>
      <c r="D8" s="9">
        <v>1.2E-2</v>
      </c>
      <c r="E8" s="10">
        <v>2.7400000000000001E-2</v>
      </c>
    </row>
    <row r="9" spans="2:5" x14ac:dyDescent="0.3">
      <c r="B9" s="8">
        <v>5</v>
      </c>
      <c r="C9" s="9">
        <v>2.3999999999999998E-3</v>
      </c>
      <c r="D9" s="9">
        <v>1.2999999999999999E-2</v>
      </c>
      <c r="E9" s="10">
        <v>2.9499999999999998E-2</v>
      </c>
    </row>
    <row r="10" spans="2:5" x14ac:dyDescent="0.3">
      <c r="B10" s="8">
        <v>6</v>
      </c>
      <c r="C10" s="9">
        <v>2.9999999999999996E-3</v>
      </c>
      <c r="D10" s="9">
        <v>1.3899999999999999E-2</v>
      </c>
      <c r="E10" s="10">
        <v>3.1199999999999999E-2</v>
      </c>
    </row>
    <row r="11" spans="2:5" x14ac:dyDescent="0.3">
      <c r="B11" s="8">
        <v>7</v>
      </c>
      <c r="C11" s="9">
        <v>3.6999999999999997E-3</v>
      </c>
      <c r="D11" s="9">
        <v>1.46E-2</v>
      </c>
      <c r="E11" s="10">
        <v>3.2600000000000004E-2</v>
      </c>
    </row>
    <row r="12" spans="2:5" x14ac:dyDescent="0.3">
      <c r="B12" s="8">
        <v>8</v>
      </c>
      <c r="C12" s="9">
        <v>4.5000000000000005E-3</v>
      </c>
      <c r="D12" s="9">
        <v>1.5299999999999999E-2</v>
      </c>
      <c r="E12" s="10">
        <v>3.3800000000000004E-2</v>
      </c>
    </row>
    <row r="13" spans="2:5" x14ac:dyDescent="0.3">
      <c r="B13" s="8">
        <v>9</v>
      </c>
      <c r="C13" s="9">
        <v>5.4000000000000003E-3</v>
      </c>
      <c r="D13" s="9">
        <v>1.5799999999999998E-2</v>
      </c>
      <c r="E13" s="10">
        <v>3.49E-2</v>
      </c>
    </row>
    <row r="14" spans="2:5" x14ac:dyDescent="0.3">
      <c r="B14" s="8">
        <v>10</v>
      </c>
      <c r="C14" s="9">
        <v>6.3E-3</v>
      </c>
      <c r="D14" s="9">
        <v>1.6299999999999999E-2</v>
      </c>
      <c r="E14" s="10">
        <v>3.6000000000000004E-2</v>
      </c>
    </row>
    <row r="15" spans="2:5" x14ac:dyDescent="0.3">
      <c r="B15" s="8">
        <v>11</v>
      </c>
      <c r="C15" s="9">
        <v>7.3000000000000001E-3</v>
      </c>
      <c r="D15" s="9">
        <v>1.6799999999999999E-2</v>
      </c>
      <c r="E15" s="10">
        <v>3.7000000000000005E-2</v>
      </c>
    </row>
    <row r="16" spans="2:5" x14ac:dyDescent="0.3">
      <c r="B16" s="8">
        <v>12</v>
      </c>
      <c r="C16" s="9">
        <v>8.4999999999999989E-3</v>
      </c>
      <c r="D16" s="9">
        <v>1.72E-2</v>
      </c>
      <c r="E16" s="10">
        <v>3.8100000000000002E-2</v>
      </c>
    </row>
    <row r="17" spans="2:5" x14ac:dyDescent="0.3">
      <c r="B17" s="8">
        <v>13</v>
      </c>
      <c r="C17" s="9">
        <v>9.6999999999999986E-3</v>
      </c>
      <c r="D17" s="9">
        <v>1.77E-2</v>
      </c>
      <c r="E17" s="10">
        <v>3.9300000000000002E-2</v>
      </c>
    </row>
    <row r="18" spans="2:5" x14ac:dyDescent="0.3">
      <c r="B18" s="8">
        <v>14</v>
      </c>
      <c r="C18" s="9">
        <v>1.1099999999999999E-2</v>
      </c>
      <c r="D18" s="9">
        <v>1.8099999999999998E-2</v>
      </c>
      <c r="E18" s="10">
        <v>4.0500000000000001E-2</v>
      </c>
    </row>
    <row r="19" spans="2:5" x14ac:dyDescent="0.3">
      <c r="B19" s="8">
        <v>15</v>
      </c>
      <c r="C19" s="9">
        <v>1.26E-2</v>
      </c>
      <c r="D19" s="9">
        <v>1.8499999999999999E-2</v>
      </c>
      <c r="E19" s="10">
        <v>4.2000000000000003E-2</v>
      </c>
    </row>
    <row r="20" spans="2:5" x14ac:dyDescent="0.3">
      <c r="B20" s="8">
        <v>16</v>
      </c>
      <c r="C20" s="9">
        <v>1.43E-2</v>
      </c>
      <c r="D20" s="9">
        <v>1.9E-2</v>
      </c>
      <c r="E20" s="10">
        <v>4.3700000000000003E-2</v>
      </c>
    </row>
    <row r="21" spans="2:5" x14ac:dyDescent="0.3">
      <c r="B21" s="8">
        <v>17</v>
      </c>
      <c r="C21" s="9">
        <v>1.6199999999999999E-2</v>
      </c>
      <c r="D21" s="9">
        <v>1.95E-2</v>
      </c>
      <c r="E21" s="10">
        <v>4.58E-2</v>
      </c>
    </row>
    <row r="22" spans="2:5" x14ac:dyDescent="0.3">
      <c r="B22" s="8">
        <v>18</v>
      </c>
      <c r="C22" s="9">
        <v>1.8200000000000001E-2</v>
      </c>
      <c r="D22" s="9">
        <v>2.01E-2</v>
      </c>
      <c r="E22" s="10">
        <v>4.82E-2</v>
      </c>
    </row>
    <row r="23" spans="2:5" x14ac:dyDescent="0.3">
      <c r="B23" s="8">
        <v>19</v>
      </c>
      <c r="C23" s="9">
        <v>2.0500000000000001E-2</v>
      </c>
      <c r="D23" s="9">
        <v>2.07E-2</v>
      </c>
      <c r="E23" s="10">
        <v>5.1200000000000002E-2</v>
      </c>
    </row>
    <row r="24" spans="2:5" x14ac:dyDescent="0.3">
      <c r="B24" s="8">
        <v>20</v>
      </c>
      <c r="C24" s="9">
        <v>2.3E-2</v>
      </c>
      <c r="D24" s="9">
        <v>2.1499999999999998E-2</v>
      </c>
      <c r="E24" s="10">
        <v>5.4900000000000004E-2</v>
      </c>
    </row>
    <row r="25" spans="2:5" x14ac:dyDescent="0.3">
      <c r="B25" s="8">
        <v>21</v>
      </c>
      <c r="C25" s="9">
        <v>2.5700000000000001E-2</v>
      </c>
      <c r="D25" s="9">
        <v>2.2499999999999999E-2</v>
      </c>
      <c r="E25" s="10">
        <v>5.9300000000000005E-2</v>
      </c>
    </row>
    <row r="26" spans="2:5" x14ac:dyDescent="0.3">
      <c r="B26" s="8">
        <v>22</v>
      </c>
      <c r="C26" s="9">
        <v>2.8799999999999999E-2</v>
      </c>
      <c r="D26" s="9">
        <v>2.3699999999999999E-2</v>
      </c>
      <c r="E26" s="10">
        <v>6.4799999999999996E-2</v>
      </c>
    </row>
    <row r="27" spans="2:5" x14ac:dyDescent="0.3">
      <c r="B27" s="8">
        <v>23</v>
      </c>
      <c r="C27" s="9">
        <v>3.2100000000000004E-2</v>
      </c>
      <c r="D27" s="9">
        <v>2.5100000000000001E-2</v>
      </c>
      <c r="E27" s="10">
        <v>7.1599999999999997E-2</v>
      </c>
    </row>
    <row r="28" spans="2:5" x14ac:dyDescent="0.3">
      <c r="B28" s="8">
        <v>24</v>
      </c>
      <c r="C28" s="9">
        <v>3.5800000000000005E-2</v>
      </c>
      <c r="D28" s="9">
        <v>2.7E-2</v>
      </c>
      <c r="E28" s="10">
        <v>7.9799999999999996E-2</v>
      </c>
    </row>
    <row r="29" spans="2:5" x14ac:dyDescent="0.3">
      <c r="B29" s="8">
        <v>25</v>
      </c>
      <c r="C29" s="9">
        <v>3.9800000000000002E-2</v>
      </c>
      <c r="D29" s="9">
        <v>2.93E-2</v>
      </c>
      <c r="E29" s="10">
        <v>8.9900000000000008E-2</v>
      </c>
    </row>
    <row r="30" spans="2:5" x14ac:dyDescent="0.3">
      <c r="B30" s="8">
        <v>26</v>
      </c>
      <c r="C30" s="9">
        <v>4.4200000000000003E-2</v>
      </c>
      <c r="D30" s="9">
        <v>3.2300000000000002E-2</v>
      </c>
      <c r="E30" s="10">
        <v>0.1021</v>
      </c>
    </row>
    <row r="31" spans="2:5" x14ac:dyDescent="0.3">
      <c r="B31" s="8">
        <v>27</v>
      </c>
      <c r="C31" s="9">
        <v>4.9100000000000005E-2</v>
      </c>
      <c r="D31" s="9">
        <v>3.6000000000000004E-2</v>
      </c>
      <c r="E31" s="10">
        <v>0.1169</v>
      </c>
    </row>
    <row r="32" spans="2:5" x14ac:dyDescent="0.3">
      <c r="B32" s="8">
        <v>28</v>
      </c>
      <c r="C32" s="9">
        <v>5.4400000000000004E-2</v>
      </c>
      <c r="D32" s="9">
        <v>4.0800000000000003E-2</v>
      </c>
      <c r="E32" s="10">
        <v>0.13439999999999999</v>
      </c>
    </row>
    <row r="33" spans="2:5" x14ac:dyDescent="0.3">
      <c r="B33" s="8">
        <v>29</v>
      </c>
      <c r="C33" s="9">
        <v>6.0299999999999999E-2</v>
      </c>
      <c r="D33" s="9">
        <v>4.6900000000000004E-2</v>
      </c>
      <c r="E33" s="10">
        <v>0.15509999999999999</v>
      </c>
    </row>
    <row r="34" spans="2:5" x14ac:dyDescent="0.3">
      <c r="B34" s="8">
        <v>30</v>
      </c>
      <c r="C34" s="9">
        <v>6.6700000000000009E-2</v>
      </c>
      <c r="D34" s="9">
        <v>5.4600000000000003E-2</v>
      </c>
      <c r="E34" s="10">
        <v>0.1792</v>
      </c>
    </row>
    <row r="35" spans="2:5" x14ac:dyDescent="0.3">
      <c r="B35" s="8">
        <v>31</v>
      </c>
      <c r="C35" s="9">
        <v>7.3700000000000002E-2</v>
      </c>
      <c r="D35" s="9">
        <v>6.4299999999999996E-2</v>
      </c>
      <c r="E35" s="10">
        <v>0.20649999999999999</v>
      </c>
    </row>
    <row r="36" spans="2:5" x14ac:dyDescent="0.3">
      <c r="B36" s="8">
        <v>32</v>
      </c>
      <c r="C36" s="9">
        <v>8.14E-2</v>
      </c>
      <c r="D36" s="9">
        <v>7.6499999999999999E-2</v>
      </c>
      <c r="E36" s="10">
        <v>0.23659999999999998</v>
      </c>
    </row>
    <row r="37" spans="2:5" x14ac:dyDescent="0.3">
      <c r="B37" s="8">
        <v>33</v>
      </c>
      <c r="C37" s="9">
        <v>8.9800000000000005E-2</v>
      </c>
      <c r="D37" s="9">
        <v>9.1800000000000007E-2</v>
      </c>
      <c r="E37" s="10">
        <v>0.26879999999999998</v>
      </c>
    </row>
    <row r="38" spans="2:5" x14ac:dyDescent="0.3">
      <c r="B38" s="8">
        <v>34</v>
      </c>
      <c r="C38" s="9">
        <v>9.9000000000000005E-2</v>
      </c>
      <c r="D38" s="9">
        <v>0.11070000000000001</v>
      </c>
      <c r="E38" s="10">
        <v>0.3014</v>
      </c>
    </row>
    <row r="39" spans="2:5" x14ac:dyDescent="0.3">
      <c r="B39" s="8">
        <v>35</v>
      </c>
      <c r="C39" s="9">
        <v>0.109</v>
      </c>
      <c r="D39" s="9">
        <v>0.1338</v>
      </c>
      <c r="E39" s="10">
        <v>0.3322</v>
      </c>
    </row>
    <row r="40" spans="2:5" x14ac:dyDescent="0.3">
      <c r="B40" s="8">
        <v>36</v>
      </c>
      <c r="C40" s="9">
        <v>0.11990000000000001</v>
      </c>
      <c r="D40" s="9">
        <v>0.16159999999999999</v>
      </c>
      <c r="E40" s="10">
        <v>0.35809999999999997</v>
      </c>
    </row>
    <row r="41" spans="2:5" x14ac:dyDescent="0.3">
      <c r="B41" s="8">
        <v>37</v>
      </c>
      <c r="C41" s="9">
        <v>0.1318</v>
      </c>
      <c r="D41" s="9">
        <v>0.19449999999999998</v>
      </c>
      <c r="E41" s="10">
        <v>0.3755</v>
      </c>
    </row>
    <row r="42" spans="2:5" x14ac:dyDescent="0.3">
      <c r="B42" s="8">
        <v>38</v>
      </c>
      <c r="C42" s="9">
        <v>0.14459999999999998</v>
      </c>
      <c r="D42" s="9">
        <v>0.23249999999999998</v>
      </c>
      <c r="E42" s="10">
        <v>0.38079999999999997</v>
      </c>
    </row>
    <row r="43" spans="2:5" x14ac:dyDescent="0.3">
      <c r="B43" s="8">
        <v>39</v>
      </c>
      <c r="C43" s="9">
        <v>0.15859999999999999</v>
      </c>
      <c r="D43" s="9">
        <v>0.27489999999999998</v>
      </c>
      <c r="E43" s="10">
        <v>0.37090000000000001</v>
      </c>
    </row>
    <row r="44" spans="2:5" x14ac:dyDescent="0.3">
      <c r="B44" s="11">
        <v>40</v>
      </c>
      <c r="C44" s="12">
        <v>0.17369999999999999</v>
      </c>
      <c r="D44" s="12">
        <v>0.3201</v>
      </c>
      <c r="E44" s="13">
        <v>0.34489999999999998</v>
      </c>
    </row>
  </sheetData>
  <mergeCells count="1">
    <mergeCell ref="B3:E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Balance sheet</vt:lpstr>
      <vt:lpstr>Maintainance data</vt:lpstr>
    </vt:vector>
  </TitlesOfParts>
  <Manager/>
  <Company>City, University of London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UG-Patel, Taksh</dc:creator>
  <cp:keywords/>
  <dc:description/>
  <cp:lastModifiedBy>Jia, Yun</cp:lastModifiedBy>
  <cp:revision/>
  <dcterms:created xsi:type="dcterms:W3CDTF">2024-12-09T14:34:16Z</dcterms:created>
  <dcterms:modified xsi:type="dcterms:W3CDTF">2025-01-13T22:01:39Z</dcterms:modified>
  <cp:category/>
  <cp:contentStatus/>
</cp:coreProperties>
</file>